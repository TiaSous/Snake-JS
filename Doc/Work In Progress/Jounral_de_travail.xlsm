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1" i="12"/>
  <c r="C30" i="12"/>
  <c r="C29" i="12"/>
  <c r="C36" i="12"/>
  <c r="C2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<sst xmlns="http://schemas.openxmlformats.org/spreadsheetml/2006/main" count="219" uniqueCount="69">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</sst>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22" zoomScale="70" zoomScaleNormal="70" zoomScaleSheetLayoutView="43" workbookViewId="0">
      <selection activeCell="C39" sqref="C39:C40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27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48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48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49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49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0" t="s">
        <v>8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32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23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40</v>
      </c>
      <c r="K14" s="173"/>
      <c r="L14" s="173"/>
      <c r="M14" s="173"/>
      <c r="N14" s="104"/>
      <c r="O14" s="104"/>
      <c r="P14" s="174" t="s">
        <v>28</v>
      </c>
      <c r="Q14" s="174"/>
      <c r="R14" s="174"/>
      <c r="S14" s="174"/>
      <c r="T14" s="129"/>
      <c r="U14" s="129"/>
      <c r="V14" s="173" t="s">
        <v>41</v>
      </c>
      <c r="W14" s="173"/>
      <c r="X14" s="173"/>
      <c r="Y14" s="173"/>
      <c r="Z14" s="104"/>
      <c r="AA14" s="104"/>
      <c r="AB14" s="174" t="s">
        <v>29</v>
      </c>
      <c r="AC14" s="174"/>
      <c r="AD14" s="174"/>
      <c r="AE14" s="174"/>
      <c r="AF14" s="129"/>
      <c r="AG14" s="129"/>
      <c r="AH14" s="173" t="s">
        <v>42</v>
      </c>
      <c r="AI14" s="173"/>
      <c r="AJ14" s="173"/>
      <c r="AK14" s="173"/>
      <c r="AL14" s="104"/>
      <c r="AM14" s="104"/>
      <c r="AN14" s="174" t="s">
        <v>30</v>
      </c>
      <c r="AO14" s="174"/>
      <c r="AP14" s="174"/>
      <c r="AQ14" s="174"/>
      <c r="AR14" s="129"/>
      <c r="AS14" s="129"/>
      <c r="AT14" s="173" t="s">
        <v>43</v>
      </c>
      <c r="AU14" s="173"/>
      <c r="AV14" s="173"/>
      <c r="AW14" s="173"/>
      <c r="AX14" s="104"/>
      <c r="AY14" s="104"/>
      <c r="AZ14" s="174" t="s">
        <v>31</v>
      </c>
      <c r="BA14" s="174"/>
      <c r="BB14" s="174"/>
      <c r="BC14" s="174"/>
      <c r="BD14" s="129"/>
      <c r="BE14" s="129"/>
      <c r="BF14" s="173" t="s">
        <v>44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40</v>
      </c>
      <c r="BS14" s="173"/>
      <c r="BT14" s="173"/>
      <c r="BU14" s="173"/>
      <c r="BV14" s="104"/>
      <c r="BW14" s="104"/>
      <c r="BX14" s="174" t="s">
        <v>28</v>
      </c>
      <c r="BY14" s="174"/>
      <c r="BZ14" s="174"/>
      <c r="CA14" s="174"/>
      <c r="CB14" s="129"/>
      <c r="CC14" s="129"/>
      <c r="CD14" s="173" t="s">
        <v>41</v>
      </c>
      <c r="CE14" s="173"/>
      <c r="CF14" s="173"/>
      <c r="CG14" s="173"/>
      <c r="CH14" s="104"/>
      <c r="CI14" s="104"/>
      <c r="CJ14" s="174" t="s">
        <v>29</v>
      </c>
      <c r="CK14" s="174"/>
      <c r="CL14" s="174"/>
      <c r="CM14" s="174"/>
      <c r="CN14" s="129"/>
      <c r="CO14" s="129"/>
      <c r="CP14" s="173" t="s">
        <v>42</v>
      </c>
      <c r="CQ14" s="173"/>
      <c r="CR14" s="173"/>
      <c r="CS14" s="173"/>
      <c r="CT14" s="104"/>
      <c r="CU14" s="104"/>
      <c r="CV14" s="174" t="s">
        <v>30</v>
      </c>
      <c r="CW14" s="174"/>
      <c r="CX14" s="174"/>
      <c r="CY14" s="174"/>
      <c r="CZ14" s="129"/>
      <c r="DA14" s="129"/>
      <c r="DB14" s="173" t="s">
        <v>43</v>
      </c>
      <c r="DC14" s="173"/>
      <c r="DD14" s="173"/>
      <c r="DE14" s="173"/>
      <c r="DF14" s="104"/>
      <c r="DG14" s="104"/>
      <c r="DH14" s="174" t="s">
        <v>31</v>
      </c>
      <c r="DI14" s="174"/>
      <c r="DJ14" s="174"/>
      <c r="DK14" s="174"/>
      <c r="DL14" s="129"/>
      <c r="DM14" s="129"/>
      <c r="DN14" s="173" t="s">
        <v>44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40</v>
      </c>
      <c r="EA14" s="173"/>
      <c r="EB14" s="173"/>
      <c r="EC14" s="173"/>
      <c r="ED14" s="104"/>
      <c r="EE14" s="104"/>
      <c r="EF14" s="174" t="s">
        <v>28</v>
      </c>
      <c r="EG14" s="174"/>
      <c r="EH14" s="174"/>
      <c r="EI14" s="174"/>
      <c r="EJ14" s="129"/>
      <c r="EK14" s="129"/>
      <c r="EL14" s="173" t="s">
        <v>41</v>
      </c>
      <c r="EM14" s="173"/>
      <c r="EN14" s="173"/>
      <c r="EO14" s="173"/>
      <c r="EP14" s="104"/>
      <c r="EQ14" s="104"/>
      <c r="ER14" s="174" t="s">
        <v>29</v>
      </c>
      <c r="ES14" s="174"/>
      <c r="ET14" s="174"/>
      <c r="EU14" s="174"/>
      <c r="EV14" s="129"/>
      <c r="EW14" s="129"/>
      <c r="EX14" s="173" t="s">
        <v>42</v>
      </c>
      <c r="EY14" s="173"/>
      <c r="EZ14" s="173"/>
      <c r="FA14" s="173"/>
      <c r="FB14" s="104"/>
      <c r="FC14" s="104"/>
      <c r="FD14" s="174" t="s">
        <v>30</v>
      </c>
      <c r="FE14" s="174"/>
      <c r="FF14" s="174"/>
      <c r="FG14" s="174"/>
      <c r="FH14" s="129"/>
      <c r="FI14" s="129"/>
      <c r="FJ14" s="173" t="s">
        <v>43</v>
      </c>
      <c r="FK14" s="173"/>
      <c r="FL14" s="173"/>
      <c r="FM14" s="173"/>
      <c r="FN14" s="104"/>
      <c r="FO14" s="104"/>
      <c r="FP14" s="174" t="s">
        <v>31</v>
      </c>
      <c r="FQ14" s="174"/>
      <c r="FR14" s="174"/>
      <c r="FS14" s="174"/>
      <c r="FT14" s="129"/>
      <c r="FU14" s="129"/>
      <c r="FV14" s="173" t="s">
        <v>44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9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9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9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9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9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9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9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9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9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9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9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9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9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9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9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9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9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9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9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10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E16" sqref="E16:F1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3</v>
      </c>
      <c r="C2" s="165"/>
      <c r="D2" s="158" t="s">
        <v>19</v>
      </c>
      <c r="E2" s="159">
        <v>45251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ht="27" x14ac:dyDescent="0.3">
      <c r="A4" s="48" t="s">
        <v>60</v>
      </c>
      <c r="B4" s="49">
        <v>18</v>
      </c>
      <c r="C4" s="153" t="str">
        <f xml:space="preserve"> IF(B4="","",setValueToTime(B4))</f>
        <v>1h30min</v>
      </c>
      <c r="D4" s="166" t="s">
        <v>61</v>
      </c>
      <c r="E4" s="210"/>
      <c r="F4" s="211"/>
      <c r="G4" s="51"/>
    </row>
    <row r="5" spans="1:7" s="52" customFormat="1" x14ac:dyDescent="0.3">
      <c r="A5" s="53" t="s">
        <v>62</v>
      </c>
      <c r="B5" s="54">
        <v>6</v>
      </c>
      <c r="C5" s="154" t="str">
        <f t="shared" ref="C5:C11" si="0" xml:space="preserve"> IF(B5="","",setValueToTime(B5))</f>
        <v>0h30min</v>
      </c>
      <c r="D5" s="167" t="s">
        <v>64</v>
      </c>
      <c r="E5" s="202"/>
      <c r="F5" s="203"/>
      <c r="G5" s="51"/>
    </row>
    <row r="6" spans="1:7" s="52" customFormat="1" ht="40.5" x14ac:dyDescent="0.3">
      <c r="A6" s="53" t="s">
        <v>63</v>
      </c>
      <c r="B6" s="54">
        <v>10</v>
      </c>
      <c r="C6" s="154" t="str">
        <f t="shared" si="0"/>
        <v>0h50min</v>
      </c>
      <c r="D6" s="167" t="s">
        <v>65</v>
      </c>
      <c r="E6" s="202"/>
      <c r="F6" s="203"/>
      <c r="G6" s="51"/>
    </row>
    <row r="7" spans="1:7" s="52" customFormat="1" x14ac:dyDescent="0.3">
      <c r="A7" s="53" t="s">
        <v>67</v>
      </c>
      <c r="B7" s="54">
        <v>6</v>
      </c>
      <c r="C7" s="154" t="str">
        <f t="shared" si="0"/>
        <v>0h30min</v>
      </c>
      <c r="D7" s="167" t="s">
        <v>66</v>
      </c>
      <c r="E7" s="202"/>
      <c r="F7" s="203"/>
      <c r="G7" s="51"/>
    </row>
    <row r="8" spans="1:7" s="52" customFormat="1" ht="27" x14ac:dyDescent="0.3">
      <c r="A8" s="54" t="s">
        <v>58</v>
      </c>
      <c r="B8" s="54">
        <v>5</v>
      </c>
      <c r="C8" s="155" t="str">
        <f t="shared" si="0"/>
        <v>0h25min</v>
      </c>
      <c r="D8" s="167" t="s">
        <v>68</v>
      </c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45</v>
      </c>
      <c r="C12" s="163" t="str">
        <f xml:space="preserve"> setValueToTime(B12)</f>
        <v>3h45min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2</v>
      </c>
      <c r="C14" s="165"/>
      <c r="D14" s="158" t="s">
        <v>19</v>
      </c>
      <c r="E14" s="159">
        <v>45244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ht="27" x14ac:dyDescent="0.3">
      <c r="A16" s="48" t="s">
        <v>50</v>
      </c>
      <c r="B16" s="49">
        <v>13</v>
      </c>
      <c r="C16" s="153" t="str">
        <f xml:space="preserve"> IF(B16="","",setValueToTime(B16))</f>
        <v>1h5min</v>
      </c>
      <c r="D16" s="166" t="s">
        <v>53</v>
      </c>
      <c r="E16" s="210"/>
      <c r="F16" s="211"/>
      <c r="G16" s="51"/>
    </row>
    <row r="17" spans="1:7" s="52" customFormat="1" ht="40.5" x14ac:dyDescent="0.3">
      <c r="A17" s="53" t="s">
        <v>54</v>
      </c>
      <c r="B17" s="54">
        <v>14</v>
      </c>
      <c r="C17" s="154" t="str">
        <f t="shared" ref="C17:C23" si="1" xml:space="preserve"> IF(B17="","",setValueToTime(B17))</f>
        <v>1h10min</v>
      </c>
      <c r="D17" s="167" t="s">
        <v>55</v>
      </c>
      <c r="E17" s="202"/>
      <c r="F17" s="203"/>
      <c r="G17" s="51"/>
    </row>
    <row r="18" spans="1:7" s="52" customFormat="1" ht="40.5" x14ac:dyDescent="0.3">
      <c r="A18" s="53" t="s">
        <v>56</v>
      </c>
      <c r="B18" s="54">
        <v>8</v>
      </c>
      <c r="C18" s="154" t="str">
        <f t="shared" si="1"/>
        <v>0h40min</v>
      </c>
      <c r="D18" s="167" t="s">
        <v>57</v>
      </c>
      <c r="E18" s="202"/>
      <c r="F18" s="203"/>
      <c r="G18" s="51"/>
    </row>
    <row r="19" spans="1:7" s="52" customFormat="1" ht="27" x14ac:dyDescent="0.3">
      <c r="A19" s="53" t="s">
        <v>58</v>
      </c>
      <c r="B19" s="54">
        <v>10</v>
      </c>
      <c r="C19" s="154" t="str">
        <f t="shared" si="1"/>
        <v>0h50min</v>
      </c>
      <c r="D19" s="167" t="s">
        <v>59</v>
      </c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1</v>
      </c>
      <c r="C26" s="165"/>
      <c r="D26" s="158" t="s">
        <v>19</v>
      </c>
      <c r="E26" s="159">
        <v>45237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x14ac:dyDescent="0.3">
      <c r="A28" s="48" t="s">
        <v>50</v>
      </c>
      <c r="B28" s="49">
        <v>45</v>
      </c>
      <c r="C28" s="153" t="str">
        <f xml:space="preserve"> IF(B28="","",setValueToTime(B28))</f>
        <v>3h45min</v>
      </c>
      <c r="D28" s="166" t="s">
        <v>51</v>
      </c>
      <c r="E28" s="212" t="s">
        <v>52</v>
      </c>
      <c r="F28" s="211"/>
      <c r="G28" s="51"/>
    </row>
    <row r="29" spans="1:7" s="52" customFormat="1" x14ac:dyDescent="0.3">
      <c r="A29" s="53"/>
      <c r="B29" s="54"/>
      <c r="C29" s="154" t="str">
        <f t="shared" ref="C29:C35" si="2" xml:space="preserve"> IF(B29="","",setValueToTime(B29))</f>
        <v/>
      </c>
      <c r="D29" s="55"/>
      <c r="E29" s="202"/>
      <c r="F29" s="203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2"/>
      <c r="F30" s="203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>
      <formula1>0</formula1>
      <formula2>60</formula2>
    </dataValidation>
    <dataValidation type="list" allowBlank="1" showInputMessage="1" showErrorMessage="1" sqref="A28:A35 A16:A23 A4:A11">
      <formula1>ListeTaches</formula1>
    </dataValidation>
  </dataValidations>
  <hyperlinks>
    <hyperlink ref="E2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16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40</v>
      </c>
      <c r="F14" s="173"/>
      <c r="G14" s="173"/>
      <c r="H14" s="173"/>
      <c r="I14" s="104"/>
      <c r="J14" s="104"/>
      <c r="K14" s="174" t="s">
        <v>28</v>
      </c>
      <c r="L14" s="174"/>
      <c r="M14" s="174"/>
      <c r="N14" s="174"/>
      <c r="O14" s="129"/>
      <c r="P14" s="129"/>
      <c r="Q14" s="173" t="s">
        <v>41</v>
      </c>
      <c r="R14" s="173"/>
      <c r="S14" s="173"/>
      <c r="T14" s="173"/>
      <c r="U14" s="104"/>
      <c r="V14" s="104"/>
      <c r="W14" s="174" t="s">
        <v>29</v>
      </c>
      <c r="X14" s="174"/>
      <c r="Y14" s="174"/>
      <c r="Z14" s="174"/>
      <c r="AA14" s="129"/>
      <c r="AB14" s="129"/>
      <c r="AC14" s="173" t="s">
        <v>42</v>
      </c>
      <c r="AD14" s="173"/>
      <c r="AE14" s="173"/>
      <c r="AF14" s="173"/>
      <c r="AG14" s="104"/>
      <c r="AH14" s="104"/>
      <c r="AI14" s="174" t="s">
        <v>30</v>
      </c>
      <c r="AJ14" s="174"/>
      <c r="AK14" s="174"/>
      <c r="AL14" s="174"/>
      <c r="AM14" s="129"/>
      <c r="AN14" s="129"/>
      <c r="AO14" s="173" t="s">
        <v>43</v>
      </c>
      <c r="AP14" s="173"/>
      <c r="AQ14" s="173"/>
      <c r="AR14" s="173"/>
      <c r="AS14" s="104"/>
      <c r="AT14" s="104"/>
      <c r="AU14" s="174" t="s">
        <v>31</v>
      </c>
      <c r="AV14" s="174"/>
      <c r="AW14" s="174"/>
      <c r="AX14" s="174"/>
      <c r="AY14" s="129"/>
      <c r="AZ14" s="129"/>
      <c r="BA14" s="173" t="s">
        <v>44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5" t="s">
        <v>18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2023-11-21T15:31:07Z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