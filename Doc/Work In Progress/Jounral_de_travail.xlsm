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orodrigue\Documents\GitHub\Snake-JS\Doc\Work In Progress\"/>
    </mc:Choice>
  </mc:AlternateContent>
  <bookViews>
    <workbookView xWindow="0" yWindow="0" windowWidth="28800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B24" i="12" l="1"/>
  <c r="C23" i="12"/>
  <c r="C22" i="12"/>
  <c r="C21" i="12"/>
  <c r="C20" i="12"/>
  <c r="C19" i="12"/>
  <c r="C17" i="12"/>
  <c r="C16" i="12"/>
  <c r="C24" i="12"/>
  <c r="C18" i="12"/>
  <c r="B36" i="12" l="1"/>
  <c r="C35" i="12"/>
  <c r="C34" i="12"/>
  <c r="C33" i="12"/>
  <c r="C32" i="12"/>
  <c r="C31" i="12"/>
  <c r="C29" i="12"/>
  <c r="C28" i="12"/>
  <c r="C30" i="12"/>
  <c r="C36" i="12"/>
  <c r="B48" i="12" l="1"/>
  <c r="C47" i="12"/>
  <c r="C46" i="12"/>
  <c r="C45" i="12"/>
  <c r="C44" i="12"/>
  <c r="C43" i="12"/>
  <c r="C42" i="12"/>
  <c r="C41" i="12"/>
  <c r="C40" i="12"/>
  <c r="C48" i="12"/>
  <c r="B60" i="12" l="1"/>
  <c r="C59" i="12"/>
  <c r="C58" i="12"/>
  <c r="C57" i="12"/>
  <c r="C56" i="12"/>
  <c r="C55" i="12"/>
  <c r="C54" i="12"/>
  <c r="C53" i="12"/>
  <c r="C52" i="12"/>
  <c r="C60" i="12"/>
  <c r="B72" i="12" l="1"/>
  <c r="C71" i="12"/>
  <c r="C70" i="12"/>
  <c r="C69" i="12"/>
  <c r="C68" i="12"/>
  <c r="C67" i="12"/>
  <c r="C66" i="12"/>
  <c r="C65" i="12"/>
  <c r="C72" i="12"/>
  <c r="C64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2" i="1"/>
  <c r="D92" i="1"/>
  <c r="D82" i="1"/>
  <c r="D73" i="1"/>
  <c r="D87" i="1"/>
  <c r="D30" i="1"/>
  <c r="D21" i="1"/>
  <c r="D90" i="1"/>
  <c r="D81" i="1"/>
  <c r="D20" i="1"/>
  <c r="D58" i="1"/>
  <c r="D17" i="1"/>
  <c r="D79" i="1"/>
  <c r="D24" i="1"/>
  <c r="D76" i="1"/>
  <c r="D66" i="1"/>
  <c r="D57" i="1"/>
  <c r="D59" i="1"/>
  <c r="D52" i="1"/>
  <c r="D84" i="1"/>
  <c r="D74" i="1"/>
  <c r="D65" i="1"/>
  <c r="D71" i="1"/>
  <c r="D63" i="1"/>
  <c r="D50" i="1"/>
  <c r="D41" i="1"/>
  <c r="D83" i="1"/>
  <c r="D49" i="1"/>
  <c r="D61" i="1"/>
  <c r="C11" i="15"/>
  <c r="D60" i="1"/>
  <c r="D39" i="1"/>
  <c r="D68" i="1"/>
  <c r="D51" i="1"/>
  <c r="D78" i="1"/>
  <c r="D40" i="1"/>
  <c r="C11" i="16"/>
  <c r="D93" i="1"/>
  <c r="D36" i="1"/>
  <c r="D34" i="1"/>
  <c r="D25" i="1"/>
  <c r="D15" i="1"/>
  <c r="D35" i="1"/>
  <c r="D48" i="1"/>
  <c r="D42" i="1"/>
  <c r="D33" i="1"/>
  <c r="D23" i="1"/>
  <c r="D67" i="1"/>
  <c r="D86" i="1"/>
  <c r="D77" i="1"/>
  <c r="D16" i="1"/>
  <c r="D18" i="1"/>
  <c r="D88" i="1"/>
  <c r="D94" i="1"/>
  <c r="D85" i="1"/>
  <c r="D28" i="1"/>
  <c r="D26" i="1"/>
  <c r="D91" i="1"/>
  <c r="D80" i="1"/>
  <c r="D70" i="1"/>
  <c r="D54" i="1"/>
  <c r="D45" i="1"/>
  <c r="D43" i="1"/>
  <c r="D47" i="1"/>
  <c r="D56" i="1"/>
  <c r="D62" i="1"/>
  <c r="D53" i="1"/>
  <c r="D55" i="1"/>
  <c r="D75" i="1"/>
  <c r="D64" i="1"/>
  <c r="D31" i="1"/>
  <c r="D72" i="1"/>
  <c r="D38" i="1"/>
  <c r="D29" i="1"/>
  <c r="D19" i="1"/>
  <c r="D89" i="1"/>
  <c r="D32" i="1"/>
  <c r="D46" i="1"/>
  <c r="D37" i="1"/>
  <c r="D27" i="1"/>
  <c r="D44" i="1"/>
  <c r="D69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<sst xmlns="http://schemas.openxmlformats.org/spreadsheetml/2006/main" count="262" uniqueCount="83">
  <si>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</si>
  <si>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</si>
  <si>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</si>
  <si>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</si>
  <si>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</si>
  <si>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</si>
  <si>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</si>
  <si>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</si>
  <si>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</si>
  <si>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</si>
  <si>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</si>
  <si>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</si>
  <si>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</si>
  <si>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</si>
  <si>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</si>
  <si>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</si>
  <si>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</si>
  <si>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</si>
  <si>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</si>
  <si>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</si>
  <si>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</si>
  <si>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</si>
  <si>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</si>
  <si>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</si>
  <si>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</si>
  <si>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</si>
  <si>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</si>
  <si>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</si>
  <si>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</si>
  <si>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</si>
  <si>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</si>
  <si>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</si>
  <si>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</si>
  <si>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</si>
  <si>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</si>
  <si>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</si>
  <si>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</si>
  <si>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</si>
  <si>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</si>
  <si>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</si>
  <si>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</si>
  <si>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</si>
  <si>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</si>
  <si>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</si>
  <si>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</si>
  <si>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</si>
  <si>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</si>
  <si>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</si>
  <si>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</si>
  <si>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</si>
  <si>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Apprentissage JS</t>
  </si>
  <si>
    <t>J'ai rgardé la théorie jusqu'à 3.2 style de codage.</t>
  </si>
  <si>
    <t>https://fr.javascript.info/</t>
  </si>
  <si>
    <t>J'ai continué à apprendresur le site. J'ai regardé la partie objet la partie classe et la partie sur les tableaux</t>
  </si>
  <si>
    <t>Faire apparaître et bouger le serpent</t>
  </si>
  <si>
    <t xml:space="preserve">J'ai réussi à faire apparaître bouger le serpent à droite. Pour ça, j'ai crée une classe snake et un tableau qui va contenir plein de partie de snake. Puis je suprrime le 1er d e la liste et je crée un nouveau pour le faire avancer. </t>
  </si>
  <si>
    <t xml:space="preserve">Faire bouger le serpent par rapport à l'utilisateur </t>
  </si>
  <si>
    <t>Je fais bouger le serpent par rapport à l'input du user. Pour ça, je prends les coordonnées x et y du serpant qui est devant et j'ajoute le x et le y de l'input du user pour créer une nouvelle partie de serpent.</t>
  </si>
  <si>
    <t>Amélioration du code</t>
  </si>
  <si>
    <t>J'ai fait quelque changement concernant le nomage de cerains objets/variables et comment gérer la taille du serpent par rapport à une seule et unique valeur.</t>
  </si>
  <si>
    <t>Système pommes</t>
  </si>
  <si>
    <t>J'ai fait en sorte dque les pommes apparaisse aléatoirement sans qu'il puisse apparaître sur le snake et que lorsque le snake mange une pomme il grandisse.</t>
  </si>
  <si>
    <t>Meurt hors du cadre</t>
  </si>
  <si>
    <t>Meurt lorsqu'il se touche</t>
  </si>
  <si>
    <t>Lorsque le snake sort du cadre, le jeu s'arrête.</t>
  </si>
  <si>
    <t xml:space="preserve">Lorsque le snake touche une de ses parite le jeu s'arrête. Il y a eu un problème sur la condition, j'ai oublié de mettre des paranthèse dans la fanction pour récuperer le x, y d'une partie. Cela m'a valu un grand moment d'incompréhension. </t>
  </si>
  <si>
    <t>J'ai fait un sytème de score qu'il affiche en haut. J'utilise la police du jeu undertale.</t>
  </si>
  <si>
    <t>Système de score</t>
  </si>
  <si>
    <t>Je fais quelque correction et amélioration mais rien d'important.</t>
  </si>
  <si>
    <t>Menu</t>
  </si>
  <si>
    <t>Game Over</t>
  </si>
  <si>
    <t>J'ai fait un menu pour le jeu en m'inspirant des couleurs du jeu Undertale.</t>
  </si>
  <si>
    <t>J'ai fait un game over qui renoive le joueur au menu. J'ai pas mal de temps hésité sur comment faire pour finir le jeu.</t>
  </si>
  <si>
    <t>Je rajoute des commentaires pour rendre mon code plus compréhensible.</t>
  </si>
  <si>
    <t>J'ai améliorer le code en utilisant des fonctions js.</t>
  </si>
  <si>
    <t>Faire le mémo</t>
  </si>
  <si>
    <t>Je fais la partie mémo. Je rajoute tout ce que je vois qui pou</t>
  </si>
  <si>
    <t>Faire le rapport</t>
  </si>
  <si>
    <t>Je fais la partie rapport. Je ne suis pas convaincu par la partie réalisation dans le rapport. Je pense qu'elle doit être améliorer.</t>
  </si>
  <si>
    <t>Discussion</t>
  </si>
  <si>
    <t>On discute par rapport au Snake en les compare entre nous.</t>
  </si>
  <si>
    <t>Faire le self</t>
  </si>
  <si>
    <t>Je fais l'exercice sur la mahcine. J'essaye d'imaginer comment faire. Je cherche comment récupérer l'objet sur lequel l'utilisateur a cliqué.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</si>
</sst>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" fillId="0" borderId="32" xfId="1" applyFill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</cellXfs>
  <cellStyles count="2">
    <cellStyle name="Lien hypertexte" xfId="1" builtinId="8"/>
    <cellStyle name="Normal" xfId="0" builtinId="0" customBuiltin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7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Apprentissage JS</c:v>
              </c:pt>
              <c:pt idx="6">
                <c:v>Faire apparaître et bouger le serpent</c:v>
              </c:pt>
              <c:pt idx="7">
                <c:v>Faire bouger le serpent par rapport à l'utilisateur </c:v>
              </c:pt>
              <c:pt idx="8">
                <c:v>Amélioration du code</c:v>
              </c:pt>
              <c:pt idx="9">
                <c:v>Système pommes</c:v>
              </c:pt>
              <c:pt idx="10">
                <c:v>Meurt hors du cadre</c:v>
              </c:pt>
              <c:pt idx="11">
                <c:v>Meurt lorsqu'il se touche</c:v>
              </c:pt>
              <c:pt idx="12">
                <c:v>Système de score</c:v>
              </c:pt>
              <c:pt idx="13">
                <c:v>Menu</c:v>
              </c:pt>
              <c:pt idx="14">
                <c:v>Game Over</c:v>
              </c:pt>
              <c:pt idx="15">
                <c:v>Faire le mémo</c:v>
              </c:pt>
            </c:str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.javascript.info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8" t="s">
        <v>38</v>
      </c>
      <c r="C35" s="168"/>
      <c r="D35" s="168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9" t="s">
        <v>39</v>
      </c>
      <c r="C37" s="169"/>
      <c r="D37" s="169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topLeftCell="A16" zoomScale="70" zoomScaleNormal="70" zoomScaleSheetLayoutView="43" workbookViewId="0">
      <selection activeCell="C51" sqref="C51:C52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72" t="s">
        <v>35</v>
      </c>
      <c r="D1" s="172"/>
      <c r="E1" s="172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73"/>
      <c r="D7" s="173"/>
      <c r="E7" s="173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84" t="str">
        <f>E96</f>
        <v>0h</v>
      </c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4"/>
      <c r="S9" s="184"/>
      <c r="T9" s="184"/>
      <c r="U9" s="184"/>
      <c r="V9" s="119"/>
      <c r="W9" s="183" t="s">
        <v>27</v>
      </c>
      <c r="X9" s="183"/>
      <c r="Y9" s="183"/>
      <c r="Z9" s="183"/>
      <c r="AA9" s="183"/>
      <c r="AB9" s="183"/>
      <c r="AC9" s="183"/>
      <c r="AD9" s="183"/>
      <c r="AE9" s="183"/>
      <c r="AF9" s="183"/>
      <c r="AG9" s="183"/>
      <c r="AH9" s="184" t="str">
        <f>E98</f>
        <v>0h</v>
      </c>
      <c r="AI9" s="184"/>
      <c r="AJ9" s="184"/>
      <c r="AK9" s="184"/>
      <c r="AL9" s="184"/>
      <c r="AM9" s="184"/>
      <c r="AN9" s="184"/>
      <c r="AO9" s="184"/>
      <c r="AP9" s="184"/>
      <c r="AQ9" s="184"/>
      <c r="AR9" s="184"/>
      <c r="AS9" s="184"/>
      <c r="AT9" s="184"/>
      <c r="AU9" s="184"/>
      <c r="AV9" s="184"/>
      <c r="AW9" s="184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6"/>
      <c r="CA10" s="186"/>
      <c r="CB10" s="186"/>
      <c r="CC10" s="186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92"/>
      <c r="CR10" s="185"/>
      <c r="CS10" s="185"/>
      <c r="CT10" s="185"/>
      <c r="CU10" s="185"/>
      <c r="CV10" s="185"/>
      <c r="CW10" s="185"/>
      <c r="CX10" s="185"/>
      <c r="CY10" s="185"/>
      <c r="CZ10" s="185"/>
      <c r="DA10" s="185"/>
      <c r="DB10" s="185"/>
      <c r="DC10" s="185"/>
      <c r="DD10" s="185"/>
      <c r="DE10" s="185"/>
      <c r="DF10" s="185"/>
      <c r="DG10" s="185"/>
      <c r="DH10" s="185"/>
      <c r="DI10" s="185"/>
      <c r="DJ10" s="185"/>
      <c r="DK10" s="185"/>
      <c r="DL10" s="185"/>
      <c r="DM10" s="185"/>
      <c r="DN10" s="185"/>
      <c r="DO10" s="185"/>
      <c r="DP10" s="185"/>
      <c r="DQ10" s="185"/>
      <c r="DR10" s="185"/>
      <c r="DS10" s="185"/>
      <c r="DT10" s="185"/>
      <c r="DU10" s="185"/>
      <c r="DV10" s="185"/>
      <c r="DW10" s="185"/>
      <c r="DX10" s="185"/>
      <c r="DY10" s="185"/>
      <c r="DZ10" s="185"/>
      <c r="EA10" s="185"/>
      <c r="EB10" s="185"/>
      <c r="EC10" s="185"/>
      <c r="ED10" s="185"/>
      <c r="EE10" s="185"/>
      <c r="EF10" s="185"/>
      <c r="EG10" s="185"/>
      <c r="EH10" s="185"/>
      <c r="EI10" s="185"/>
      <c r="EJ10" s="185"/>
      <c r="EK10" s="185"/>
      <c r="EL10" s="185"/>
      <c r="EM10" s="185"/>
      <c r="EN10" s="185"/>
      <c r="EO10" s="185"/>
      <c r="EP10" s="185"/>
      <c r="EQ10" s="185"/>
      <c r="ER10" s="185"/>
      <c r="ES10" s="185"/>
      <c r="ET10" s="185"/>
      <c r="EU10" s="185"/>
      <c r="EV10" s="185"/>
      <c r="EW10" s="185"/>
      <c r="EX10" s="185"/>
      <c r="EY10" s="185"/>
      <c r="EZ10" s="185"/>
      <c r="FA10" s="185"/>
      <c r="FB10" s="185"/>
      <c r="FC10" s="185"/>
      <c r="FD10" s="185"/>
      <c r="FE10" s="185"/>
      <c r="FF10" s="185"/>
      <c r="FG10" s="185"/>
      <c r="FH10" s="185"/>
      <c r="FI10" s="185"/>
      <c r="FJ10" s="185"/>
      <c r="FK10" s="185"/>
      <c r="FL10" s="185"/>
      <c r="FM10" s="185"/>
      <c r="FN10" s="185"/>
      <c r="FO10" s="185"/>
      <c r="FP10" s="185"/>
      <c r="FQ10" s="185"/>
      <c r="FR10" s="185"/>
      <c r="FS10" s="185"/>
      <c r="FT10" s="185"/>
      <c r="FU10" s="185"/>
      <c r="FV10" s="185"/>
      <c r="FW10" s="185"/>
      <c r="FX10" s="185"/>
      <c r="FY10" s="185"/>
      <c r="FZ10" s="185"/>
      <c r="GA10" s="185"/>
      <c r="GB10" s="185"/>
      <c r="GC10" s="185"/>
      <c r="GD10" s="90"/>
    </row>
    <row r="11" spans="1:186" ht="20.100000000000001" customHeight="1" x14ac:dyDescent="0.25">
      <c r="B11" s="96"/>
      <c r="C11" s="170"/>
      <c r="D11" s="170"/>
      <c r="E11" s="170"/>
      <c r="F11" s="182" t="s">
        <v>48</v>
      </c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 t="s">
        <v>48</v>
      </c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7" t="s">
        <v>48</v>
      </c>
      <c r="DW11" s="187"/>
      <c r="DX11" s="187"/>
      <c r="DY11" s="187"/>
      <c r="DZ11" s="187"/>
      <c r="EA11" s="187"/>
      <c r="EB11" s="187"/>
      <c r="EC11" s="187"/>
      <c r="ED11" s="187"/>
      <c r="EE11" s="187"/>
      <c r="EF11" s="187"/>
      <c r="EG11" s="187"/>
      <c r="EH11" s="187"/>
      <c r="EI11" s="187"/>
      <c r="EJ11" s="187"/>
      <c r="EK11" s="187"/>
      <c r="EL11" s="187"/>
      <c r="EM11" s="187"/>
      <c r="EN11" s="187"/>
      <c r="EO11" s="187"/>
      <c r="EP11" s="187"/>
      <c r="EQ11" s="187"/>
      <c r="ER11" s="187"/>
      <c r="ES11" s="187"/>
      <c r="ET11" s="187"/>
      <c r="EU11" s="187"/>
      <c r="EV11" s="187"/>
      <c r="EW11" s="187"/>
      <c r="EX11" s="187"/>
      <c r="EY11" s="187"/>
      <c r="EZ11" s="187"/>
      <c r="FA11" s="187"/>
      <c r="FB11" s="187"/>
      <c r="FC11" s="187"/>
      <c r="FD11" s="187"/>
      <c r="FE11" s="187"/>
      <c r="FF11" s="187"/>
      <c r="FG11" s="187"/>
      <c r="FH11" s="187"/>
      <c r="FI11" s="187"/>
      <c r="FJ11" s="187"/>
      <c r="FK11" s="187"/>
      <c r="FL11" s="187"/>
      <c r="FM11" s="187"/>
      <c r="FN11" s="187"/>
      <c r="FO11" s="187"/>
      <c r="FP11" s="187"/>
      <c r="FQ11" s="187"/>
      <c r="FR11" s="187"/>
      <c r="FS11" s="187"/>
      <c r="FT11" s="187"/>
      <c r="FU11" s="187"/>
      <c r="FV11" s="187"/>
      <c r="FW11" s="187"/>
      <c r="FX11" s="187"/>
      <c r="FY11" s="187"/>
      <c r="FZ11" s="187"/>
      <c r="GA11" s="187"/>
      <c r="GB11" s="187"/>
      <c r="GC11" s="187"/>
      <c r="GD11" s="90"/>
    </row>
    <row r="12" spans="1:186" ht="15.75" customHeight="1" thickBot="1" x14ac:dyDescent="0.3">
      <c r="B12" s="97"/>
      <c r="C12" s="171"/>
      <c r="D12" s="171"/>
      <c r="E12" s="171"/>
      <c r="F12" s="181" t="s">
        <v>49</v>
      </c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81"/>
      <c r="AC12" s="181"/>
      <c r="AD12" s="181"/>
      <c r="AE12" s="181"/>
      <c r="AF12" s="181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181"/>
      <c r="BB12" s="181"/>
      <c r="BC12" s="181"/>
      <c r="BD12" s="181"/>
      <c r="BE12" s="181"/>
      <c r="BF12" s="181"/>
      <c r="BG12" s="181"/>
      <c r="BH12" s="181"/>
      <c r="BI12" s="181"/>
      <c r="BJ12" s="181"/>
      <c r="BK12" s="181"/>
      <c r="BL12" s="181"/>
      <c r="BM12" s="181"/>
      <c r="BN12" s="181" t="s">
        <v>49</v>
      </c>
      <c r="BO12" s="181"/>
      <c r="BP12" s="181"/>
      <c r="BQ12" s="181"/>
      <c r="BR12" s="181"/>
      <c r="BS12" s="181"/>
      <c r="BT12" s="181"/>
      <c r="BU12" s="181"/>
      <c r="BV12" s="181"/>
      <c r="BW12" s="181"/>
      <c r="BX12" s="181"/>
      <c r="BY12" s="181"/>
      <c r="BZ12" s="181"/>
      <c r="CA12" s="181"/>
      <c r="CB12" s="181"/>
      <c r="CC12" s="181"/>
      <c r="CD12" s="181"/>
      <c r="CE12" s="181"/>
      <c r="CF12" s="181"/>
      <c r="CG12" s="181"/>
      <c r="CH12" s="181"/>
      <c r="CI12" s="181"/>
      <c r="CJ12" s="181"/>
      <c r="CK12" s="181"/>
      <c r="CL12" s="181"/>
      <c r="CM12" s="181"/>
      <c r="CN12" s="181"/>
      <c r="CO12" s="181"/>
      <c r="CP12" s="181"/>
      <c r="CQ12" s="181"/>
      <c r="CR12" s="181"/>
      <c r="CS12" s="181"/>
      <c r="CT12" s="181"/>
      <c r="CU12" s="181"/>
      <c r="CV12" s="181"/>
      <c r="CW12" s="181"/>
      <c r="CX12" s="181"/>
      <c r="CY12" s="181"/>
      <c r="CZ12" s="181"/>
      <c r="DA12" s="181"/>
      <c r="DB12" s="181"/>
      <c r="DC12" s="181"/>
      <c r="DD12" s="181"/>
      <c r="DE12" s="181"/>
      <c r="DF12" s="181"/>
      <c r="DG12" s="181"/>
      <c r="DH12" s="181"/>
      <c r="DI12" s="181"/>
      <c r="DJ12" s="181"/>
      <c r="DK12" s="181"/>
      <c r="DL12" s="181"/>
      <c r="DM12" s="181"/>
      <c r="DN12" s="181"/>
      <c r="DO12" s="181"/>
      <c r="DP12" s="181"/>
      <c r="DQ12" s="181"/>
      <c r="DR12" s="181"/>
      <c r="DS12" s="181"/>
      <c r="DT12" s="181"/>
      <c r="DU12" s="181"/>
      <c r="DV12" s="188" t="s">
        <v>49</v>
      </c>
      <c r="DW12" s="188"/>
      <c r="DX12" s="188"/>
      <c r="DY12" s="188"/>
      <c r="DZ12" s="188"/>
      <c r="EA12" s="188"/>
      <c r="EB12" s="188"/>
      <c r="EC12" s="188"/>
      <c r="ED12" s="188"/>
      <c r="EE12" s="188"/>
      <c r="EF12" s="188"/>
      <c r="EG12" s="188"/>
      <c r="EH12" s="188"/>
      <c r="EI12" s="188"/>
      <c r="EJ12" s="188"/>
      <c r="EK12" s="188"/>
      <c r="EL12" s="188"/>
      <c r="EM12" s="188"/>
      <c r="EN12" s="188"/>
      <c r="EO12" s="188"/>
      <c r="EP12" s="188"/>
      <c r="EQ12" s="188"/>
      <c r="ER12" s="188"/>
      <c r="ES12" s="188"/>
      <c r="ET12" s="188"/>
      <c r="EU12" s="188"/>
      <c r="EV12" s="188"/>
      <c r="EW12" s="188"/>
      <c r="EX12" s="188"/>
      <c r="EY12" s="188"/>
      <c r="EZ12" s="188"/>
      <c r="FA12" s="188"/>
      <c r="FB12" s="188"/>
      <c r="FC12" s="188"/>
      <c r="FD12" s="188"/>
      <c r="FE12" s="188"/>
      <c r="FF12" s="188"/>
      <c r="FG12" s="188"/>
      <c r="FH12" s="188"/>
      <c r="FI12" s="188"/>
      <c r="FJ12" s="188"/>
      <c r="FK12" s="188"/>
      <c r="FL12" s="188"/>
      <c r="FM12" s="188"/>
      <c r="FN12" s="188"/>
      <c r="FO12" s="188"/>
      <c r="FP12" s="188"/>
      <c r="FQ12" s="188"/>
      <c r="FR12" s="188"/>
      <c r="FS12" s="188"/>
      <c r="FT12" s="188"/>
      <c r="FU12" s="188"/>
      <c r="FV12" s="188"/>
      <c r="FW12" s="188"/>
      <c r="FX12" s="188"/>
      <c r="FY12" s="188"/>
      <c r="FZ12" s="188"/>
      <c r="GA12" s="188"/>
      <c r="GB12" s="188"/>
      <c r="GC12" s="188"/>
      <c r="GD12" s="90"/>
    </row>
    <row r="13" spans="1:186" ht="42.75" customHeight="1" thickBot="1" x14ac:dyDescent="0.3">
      <c r="B13" s="96"/>
      <c r="C13" s="177" t="s">
        <v>7</v>
      </c>
      <c r="D13" s="145"/>
      <c r="E13" s="179" t="s">
        <v>45</v>
      </c>
      <c r="F13" s="189" t="s">
        <v>8</v>
      </c>
      <c r="G13" s="190"/>
      <c r="H13" s="190"/>
      <c r="I13" s="190"/>
      <c r="J13" s="190"/>
      <c r="K13" s="190"/>
      <c r="L13" s="190"/>
      <c r="M13" s="190"/>
      <c r="N13" s="190"/>
      <c r="O13" s="190"/>
      <c r="P13" s="190"/>
      <c r="Q13" s="190"/>
      <c r="R13" s="190"/>
      <c r="S13" s="190"/>
      <c r="T13" s="190"/>
      <c r="U13" s="190"/>
      <c r="V13" s="190"/>
      <c r="W13" s="190"/>
      <c r="X13" s="190"/>
      <c r="Y13" s="190"/>
      <c r="Z13" s="190"/>
      <c r="AA13" s="190"/>
      <c r="AB13" s="190"/>
      <c r="AC13" s="190"/>
      <c r="AD13" s="190"/>
      <c r="AE13" s="190"/>
      <c r="AF13" s="190"/>
      <c r="AG13" s="190"/>
      <c r="AH13" s="190"/>
      <c r="AI13" s="190"/>
      <c r="AJ13" s="190"/>
      <c r="AK13" s="190"/>
      <c r="AL13" s="190"/>
      <c r="AM13" s="190"/>
      <c r="AN13" s="190"/>
      <c r="AO13" s="190"/>
      <c r="AP13" s="190"/>
      <c r="AQ13" s="190"/>
      <c r="AR13" s="190"/>
      <c r="AS13" s="190"/>
      <c r="AT13" s="190"/>
      <c r="AU13" s="190"/>
      <c r="AV13" s="190"/>
      <c r="AW13" s="190"/>
      <c r="AX13" s="190"/>
      <c r="AY13" s="190"/>
      <c r="AZ13" s="190"/>
      <c r="BA13" s="190"/>
      <c r="BB13" s="190"/>
      <c r="BC13" s="190"/>
      <c r="BD13" s="190"/>
      <c r="BE13" s="190"/>
      <c r="BF13" s="190"/>
      <c r="BG13" s="190"/>
      <c r="BH13" s="190"/>
      <c r="BI13" s="190"/>
      <c r="BJ13" s="190"/>
      <c r="BK13" s="190"/>
      <c r="BL13" s="190"/>
      <c r="BM13" s="191"/>
      <c r="BN13" s="189" t="s">
        <v>32</v>
      </c>
      <c r="BO13" s="190"/>
      <c r="BP13" s="190"/>
      <c r="BQ13" s="190"/>
      <c r="BR13" s="190"/>
      <c r="BS13" s="190"/>
      <c r="BT13" s="190"/>
      <c r="BU13" s="190"/>
      <c r="BV13" s="190"/>
      <c r="BW13" s="190"/>
      <c r="BX13" s="190"/>
      <c r="BY13" s="190"/>
      <c r="BZ13" s="190"/>
      <c r="CA13" s="190"/>
      <c r="CB13" s="190"/>
      <c r="CC13" s="190"/>
      <c r="CD13" s="190"/>
      <c r="CE13" s="190"/>
      <c r="CF13" s="190"/>
      <c r="CG13" s="190"/>
      <c r="CH13" s="190"/>
      <c r="CI13" s="190"/>
      <c r="CJ13" s="190"/>
      <c r="CK13" s="190"/>
      <c r="CL13" s="190"/>
      <c r="CM13" s="190"/>
      <c r="CN13" s="190"/>
      <c r="CO13" s="190"/>
      <c r="CP13" s="190"/>
      <c r="CQ13" s="190"/>
      <c r="CR13" s="190"/>
      <c r="CS13" s="190"/>
      <c r="CT13" s="190"/>
      <c r="CU13" s="190"/>
      <c r="CV13" s="190"/>
      <c r="CW13" s="190"/>
      <c r="CX13" s="190"/>
      <c r="CY13" s="190"/>
      <c r="CZ13" s="190"/>
      <c r="DA13" s="190"/>
      <c r="DB13" s="190"/>
      <c r="DC13" s="190"/>
      <c r="DD13" s="190"/>
      <c r="DE13" s="190"/>
      <c r="DF13" s="190"/>
      <c r="DG13" s="190"/>
      <c r="DH13" s="190"/>
      <c r="DI13" s="190"/>
      <c r="DJ13" s="190"/>
      <c r="DK13" s="190"/>
      <c r="DL13" s="190"/>
      <c r="DM13" s="190"/>
      <c r="DN13" s="190"/>
      <c r="DO13" s="190"/>
      <c r="DP13" s="190"/>
      <c r="DQ13" s="190"/>
      <c r="DR13" s="190"/>
      <c r="DS13" s="190"/>
      <c r="DT13" s="190"/>
      <c r="DU13" s="191"/>
      <c r="DV13" s="189" t="s">
        <v>23</v>
      </c>
      <c r="DW13" s="190"/>
      <c r="DX13" s="190"/>
      <c r="DY13" s="190"/>
      <c r="DZ13" s="190"/>
      <c r="EA13" s="190"/>
      <c r="EB13" s="190"/>
      <c r="EC13" s="190"/>
      <c r="ED13" s="190"/>
      <c r="EE13" s="190"/>
      <c r="EF13" s="190"/>
      <c r="EG13" s="190"/>
      <c r="EH13" s="190"/>
      <c r="EI13" s="190"/>
      <c r="EJ13" s="190"/>
      <c r="EK13" s="190"/>
      <c r="EL13" s="190"/>
      <c r="EM13" s="190"/>
      <c r="EN13" s="190"/>
      <c r="EO13" s="190"/>
      <c r="EP13" s="190"/>
      <c r="EQ13" s="190"/>
      <c r="ER13" s="190"/>
      <c r="ES13" s="190"/>
      <c r="ET13" s="190"/>
      <c r="EU13" s="190"/>
      <c r="EV13" s="190"/>
      <c r="EW13" s="190"/>
      <c r="EX13" s="190"/>
      <c r="EY13" s="190"/>
      <c r="EZ13" s="190"/>
      <c r="FA13" s="190"/>
      <c r="FB13" s="190"/>
      <c r="FC13" s="190"/>
      <c r="FD13" s="190"/>
      <c r="FE13" s="190"/>
      <c r="FF13" s="190"/>
      <c r="FG13" s="190"/>
      <c r="FH13" s="190"/>
      <c r="FI13" s="190"/>
      <c r="FJ13" s="190"/>
      <c r="FK13" s="190"/>
      <c r="FL13" s="190"/>
      <c r="FM13" s="190"/>
      <c r="FN13" s="190"/>
      <c r="FO13" s="190"/>
      <c r="FP13" s="190"/>
      <c r="FQ13" s="190"/>
      <c r="FR13" s="190"/>
      <c r="FS13" s="190"/>
      <c r="FT13" s="190"/>
      <c r="FU13" s="190"/>
      <c r="FV13" s="190"/>
      <c r="FW13" s="190"/>
      <c r="FX13" s="190"/>
      <c r="FY13" s="190"/>
      <c r="FZ13" s="190"/>
      <c r="GA13" s="190"/>
      <c r="GB13" s="190"/>
      <c r="GC13" s="191"/>
      <c r="GD13" s="90"/>
    </row>
    <row r="14" spans="1:186" ht="12.75" customHeight="1" thickBot="1" x14ac:dyDescent="0.35">
      <c r="B14" s="96"/>
      <c r="C14" s="178"/>
      <c r="D14" s="146"/>
      <c r="E14" s="180"/>
      <c r="F14" s="103"/>
      <c r="G14" s="104"/>
      <c r="H14" s="104"/>
      <c r="I14" s="104"/>
      <c r="J14" s="192" t="s">
        <v>40</v>
      </c>
      <c r="K14" s="192"/>
      <c r="L14" s="192"/>
      <c r="M14" s="192"/>
      <c r="N14" s="104"/>
      <c r="O14" s="104"/>
      <c r="P14" s="193" t="s">
        <v>28</v>
      </c>
      <c r="Q14" s="193"/>
      <c r="R14" s="193"/>
      <c r="S14" s="193"/>
      <c r="T14" s="129"/>
      <c r="U14" s="129"/>
      <c r="V14" s="192" t="s">
        <v>41</v>
      </c>
      <c r="W14" s="192"/>
      <c r="X14" s="192"/>
      <c r="Y14" s="192"/>
      <c r="Z14" s="104"/>
      <c r="AA14" s="104"/>
      <c r="AB14" s="193" t="s">
        <v>29</v>
      </c>
      <c r="AC14" s="193"/>
      <c r="AD14" s="193"/>
      <c r="AE14" s="193"/>
      <c r="AF14" s="129"/>
      <c r="AG14" s="129"/>
      <c r="AH14" s="192" t="s">
        <v>42</v>
      </c>
      <c r="AI14" s="192"/>
      <c r="AJ14" s="192"/>
      <c r="AK14" s="192"/>
      <c r="AL14" s="104"/>
      <c r="AM14" s="104"/>
      <c r="AN14" s="193" t="s">
        <v>30</v>
      </c>
      <c r="AO14" s="193"/>
      <c r="AP14" s="193"/>
      <c r="AQ14" s="193"/>
      <c r="AR14" s="129"/>
      <c r="AS14" s="129"/>
      <c r="AT14" s="192" t="s">
        <v>43</v>
      </c>
      <c r="AU14" s="192"/>
      <c r="AV14" s="192"/>
      <c r="AW14" s="192"/>
      <c r="AX14" s="104"/>
      <c r="AY14" s="104"/>
      <c r="AZ14" s="193" t="s">
        <v>31</v>
      </c>
      <c r="BA14" s="193"/>
      <c r="BB14" s="193"/>
      <c r="BC14" s="193"/>
      <c r="BD14" s="129"/>
      <c r="BE14" s="129"/>
      <c r="BF14" s="192" t="s">
        <v>44</v>
      </c>
      <c r="BG14" s="192"/>
      <c r="BH14" s="192"/>
      <c r="BI14" s="192"/>
      <c r="BJ14" s="104"/>
      <c r="BK14" s="104"/>
      <c r="BL14" s="104"/>
      <c r="BM14" s="105"/>
      <c r="BN14" s="103"/>
      <c r="BO14" s="104"/>
      <c r="BP14" s="104"/>
      <c r="BQ14" s="104"/>
      <c r="BR14" s="192" t="s">
        <v>40</v>
      </c>
      <c r="BS14" s="192"/>
      <c r="BT14" s="192"/>
      <c r="BU14" s="192"/>
      <c r="BV14" s="104"/>
      <c r="BW14" s="104"/>
      <c r="BX14" s="193" t="s">
        <v>28</v>
      </c>
      <c r="BY14" s="193"/>
      <c r="BZ14" s="193"/>
      <c r="CA14" s="193"/>
      <c r="CB14" s="129"/>
      <c r="CC14" s="129"/>
      <c r="CD14" s="192" t="s">
        <v>41</v>
      </c>
      <c r="CE14" s="192"/>
      <c r="CF14" s="192"/>
      <c r="CG14" s="192"/>
      <c r="CH14" s="104"/>
      <c r="CI14" s="104"/>
      <c r="CJ14" s="193" t="s">
        <v>29</v>
      </c>
      <c r="CK14" s="193"/>
      <c r="CL14" s="193"/>
      <c r="CM14" s="193"/>
      <c r="CN14" s="129"/>
      <c r="CO14" s="129"/>
      <c r="CP14" s="192" t="s">
        <v>42</v>
      </c>
      <c r="CQ14" s="192"/>
      <c r="CR14" s="192"/>
      <c r="CS14" s="192"/>
      <c r="CT14" s="104"/>
      <c r="CU14" s="104"/>
      <c r="CV14" s="193" t="s">
        <v>30</v>
      </c>
      <c r="CW14" s="193"/>
      <c r="CX14" s="193"/>
      <c r="CY14" s="193"/>
      <c r="CZ14" s="129"/>
      <c r="DA14" s="129"/>
      <c r="DB14" s="192" t="s">
        <v>43</v>
      </c>
      <c r="DC14" s="192"/>
      <c r="DD14" s="192"/>
      <c r="DE14" s="192"/>
      <c r="DF14" s="104"/>
      <c r="DG14" s="104"/>
      <c r="DH14" s="193" t="s">
        <v>31</v>
      </c>
      <c r="DI14" s="193"/>
      <c r="DJ14" s="193"/>
      <c r="DK14" s="193"/>
      <c r="DL14" s="129"/>
      <c r="DM14" s="129"/>
      <c r="DN14" s="192" t="s">
        <v>44</v>
      </c>
      <c r="DO14" s="192"/>
      <c r="DP14" s="192"/>
      <c r="DQ14" s="192"/>
      <c r="DR14" s="104"/>
      <c r="DS14" s="104"/>
      <c r="DT14" s="104"/>
      <c r="DU14" s="105"/>
      <c r="DV14" s="103"/>
      <c r="DW14" s="104"/>
      <c r="DX14" s="104"/>
      <c r="DY14" s="104"/>
      <c r="DZ14" s="192" t="s">
        <v>40</v>
      </c>
      <c r="EA14" s="192"/>
      <c r="EB14" s="192"/>
      <c r="EC14" s="192"/>
      <c r="ED14" s="104"/>
      <c r="EE14" s="104"/>
      <c r="EF14" s="193" t="s">
        <v>28</v>
      </c>
      <c r="EG14" s="193"/>
      <c r="EH14" s="193"/>
      <c r="EI14" s="193"/>
      <c r="EJ14" s="129"/>
      <c r="EK14" s="129"/>
      <c r="EL14" s="192" t="s">
        <v>41</v>
      </c>
      <c r="EM14" s="192"/>
      <c r="EN14" s="192"/>
      <c r="EO14" s="192"/>
      <c r="EP14" s="104"/>
      <c r="EQ14" s="104"/>
      <c r="ER14" s="193" t="s">
        <v>29</v>
      </c>
      <c r="ES14" s="193"/>
      <c r="ET14" s="193"/>
      <c r="EU14" s="193"/>
      <c r="EV14" s="129"/>
      <c r="EW14" s="129"/>
      <c r="EX14" s="192" t="s">
        <v>42</v>
      </c>
      <c r="EY14" s="192"/>
      <c r="EZ14" s="192"/>
      <c r="FA14" s="192"/>
      <c r="FB14" s="104"/>
      <c r="FC14" s="104"/>
      <c r="FD14" s="193" t="s">
        <v>30</v>
      </c>
      <c r="FE14" s="193"/>
      <c r="FF14" s="193"/>
      <c r="FG14" s="193"/>
      <c r="FH14" s="129"/>
      <c r="FI14" s="129"/>
      <c r="FJ14" s="192" t="s">
        <v>43</v>
      </c>
      <c r="FK14" s="192"/>
      <c r="FL14" s="192"/>
      <c r="FM14" s="192"/>
      <c r="FN14" s="104"/>
      <c r="FO14" s="104"/>
      <c r="FP14" s="193" t="s">
        <v>31</v>
      </c>
      <c r="FQ14" s="193"/>
      <c r="FR14" s="193"/>
      <c r="FS14" s="193"/>
      <c r="FT14" s="129"/>
      <c r="FU14" s="129"/>
      <c r="FV14" s="192" t="s">
        <v>44</v>
      </c>
      <c r="FW14" s="192"/>
      <c r="FX14" s="192"/>
      <c r="FY14" s="192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74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75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74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75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74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>Apprentissage JS</v>
      </c>
      <c r="C20" s="176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>Faire apparaître et bouger le serpent</v>
      </c>
      <c r="C21" s="174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 xml:space="preserve">Faire bouger le serpent par rapport à l'utilisateur </v>
      </c>
      <c r="C22" s="176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>Amélioration du code</v>
      </c>
      <c r="C23" s="174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>Système pommes</v>
      </c>
      <c r="C24" s="176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>Meurt hors du cadre</v>
      </c>
      <c r="C25" s="174" t="s">
        <v>50</v>
      </c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>Meurt lorsqu'il se touche</v>
      </c>
      <c r="C26" s="175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>Système de score</v>
      </c>
      <c r="C27" s="174" t="s">
        <v>54</v>
      </c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>Menu</v>
      </c>
      <c r="C28" s="175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>Game Over</v>
      </c>
      <c r="C29" s="174" t="s">
        <v>56</v>
      </c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>Faire le mémo</v>
      </c>
      <c r="C30" s="175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>Faire le rapport</v>
      </c>
      <c r="C31" s="174" t="s">
        <v>58</v>
      </c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>Discussion</v>
      </c>
      <c r="C32" s="175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>Faire le self</v>
      </c>
      <c r="C33" s="174" t="s">
        <v>60</v>
      </c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75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74" t="s">
        <v>62</v>
      </c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76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74" t="s">
        <v>63</v>
      </c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75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74" t="s">
        <v>67</v>
      </c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76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74" t="s">
        <v>69</v>
      </c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75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74" t="s">
        <v>70</v>
      </c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75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74" t="s">
        <v>75</v>
      </c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76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74" t="s">
        <v>77</v>
      </c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75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74" t="s">
        <v>79</v>
      </c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75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74" t="s">
        <v>81</v>
      </c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76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74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75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74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76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74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75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74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75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74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76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74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75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74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75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74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76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74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75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74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76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74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75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74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75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74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76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74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75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74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75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74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76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74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75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74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76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74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75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74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75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74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76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98" t="s">
        <v>9</v>
      </c>
      <c r="D95" s="199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200"/>
      <c r="D96" s="201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94" t="s">
        <v>10</v>
      </c>
      <c r="D97" s="195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96"/>
      <c r="D98" s="197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C55:C56"/>
    <mergeCell ref="C57:C58"/>
    <mergeCell ref="C59:C60"/>
    <mergeCell ref="C61:C62"/>
    <mergeCell ref="C83:C84"/>
    <mergeCell ref="C81:C82"/>
    <mergeCell ref="C79:C80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73"/>
  <sheetViews>
    <sheetView showGridLines="0" tabSelected="1" zoomScaleNormal="100" zoomScaleSheetLayoutView="98" workbookViewId="0">
      <pane ySplit="1" topLeftCell="A2" activePane="bottomLeft" state="frozen"/>
      <selection pane="bottomLeft" activeCell="D8" sqref="D8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16</v>
      </c>
      <c r="B2" s="165">
        <v>6</v>
      </c>
      <c r="C2" s="165"/>
      <c r="D2" s="158" t="s">
        <v>19</v>
      </c>
      <c r="E2" s="159">
        <v>45272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46</v>
      </c>
      <c r="C3" s="161"/>
      <c r="D3" s="78" t="s">
        <v>17</v>
      </c>
      <c r="E3" s="208" t="s">
        <v>18</v>
      </c>
      <c r="F3" s="209"/>
      <c r="G3" s="46"/>
    </row>
    <row r="4" spans="1:7" s="52" customFormat="1" x14ac:dyDescent="0.3">
      <c r="A4" s="48" t="s">
        <v>79</v>
      </c>
      <c r="B4" s="49">
        <v>9</v>
      </c>
      <c r="C4" s="153" t="str">
        <f xml:space="preserve"> IF(B4="","",setValueToTime(B4))</f>
        <v>0h45min</v>
      </c>
      <c r="D4" s="166" t="s">
        <v>80</v>
      </c>
      <c r="E4" s="210"/>
      <c r="F4" s="211"/>
      <c r="G4" s="51"/>
    </row>
    <row r="5" spans="1:7" s="52" customFormat="1" ht="27" x14ac:dyDescent="0.3">
      <c r="A5" s="53" t="s">
        <v>81</v>
      </c>
      <c r="B5" s="54">
        <v>18</v>
      </c>
      <c r="C5" s="154" t="str">
        <f t="shared" ref="C5:C11" si="0" xml:space="preserve"> IF(B5="","",setValueToTime(B5))</f>
        <v>1h30min</v>
      </c>
      <c r="D5" s="167" t="s">
        <v>82</v>
      </c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2"/>
      <c r="F10" s="203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4"/>
      <c r="F11" s="205"/>
      <c r="G11" s="51"/>
    </row>
    <row r="12" spans="1:7" s="52" customFormat="1" ht="15" thickBot="1" x14ac:dyDescent="0.35">
      <c r="A12" s="163" t="s">
        <v>33</v>
      </c>
      <c r="B12" s="83">
        <f>SUM(B4:B11)</f>
        <v>27</v>
      </c>
      <c r="C12" s="163" t="str">
        <f xml:space="preserve"> setValueToTime(B12)</f>
        <v>2h15min</v>
      </c>
      <c r="D12" s="121"/>
      <c r="E12" s="206"/>
      <c r="F12" s="207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7" t="s">
        <v>16</v>
      </c>
      <c r="B14" s="165">
        <v>5</v>
      </c>
      <c r="C14" s="165"/>
      <c r="D14" s="158" t="s">
        <v>19</v>
      </c>
      <c r="E14" s="159">
        <v>45265</v>
      </c>
      <c r="F14" s="160"/>
      <c r="G14" s="46"/>
    </row>
    <row r="15" spans="1:7" s="47" customFormat="1" ht="30" customHeight="1" thickBot="1" x14ac:dyDescent="0.3">
      <c r="A15" s="78" t="s">
        <v>5</v>
      </c>
      <c r="B15" s="162" t="s">
        <v>46</v>
      </c>
      <c r="C15" s="161"/>
      <c r="D15" s="78" t="s">
        <v>17</v>
      </c>
      <c r="E15" s="208" t="s">
        <v>18</v>
      </c>
      <c r="F15" s="209"/>
      <c r="G15" s="46"/>
    </row>
    <row r="16" spans="1:7" s="52" customFormat="1" ht="27" x14ac:dyDescent="0.3">
      <c r="A16" s="48" t="s">
        <v>58</v>
      </c>
      <c r="B16" s="49">
        <v>13</v>
      </c>
      <c r="C16" s="153" t="str">
        <f xml:space="preserve"> IF(B16="","",setValueToTime(B16))</f>
        <v>1h5min</v>
      </c>
      <c r="D16" s="166" t="s">
        <v>73</v>
      </c>
      <c r="E16" s="210"/>
      <c r="F16" s="211"/>
      <c r="G16" s="51"/>
    </row>
    <row r="17" spans="1:7" s="52" customFormat="1" x14ac:dyDescent="0.3">
      <c r="A17" s="53" t="s">
        <v>75</v>
      </c>
      <c r="B17" s="54">
        <v>14</v>
      </c>
      <c r="C17" s="154" t="str">
        <f t="shared" ref="C17:C23" si="1" xml:space="preserve"> IF(B17="","",setValueToTime(B17))</f>
        <v>1h10min</v>
      </c>
      <c r="D17" s="167" t="s">
        <v>76</v>
      </c>
      <c r="E17" s="202"/>
      <c r="F17" s="203"/>
      <c r="G17" s="51"/>
    </row>
    <row r="18" spans="1:7" s="52" customFormat="1" ht="27" x14ac:dyDescent="0.3">
      <c r="A18" s="53" t="s">
        <v>77</v>
      </c>
      <c r="B18" s="54">
        <v>13</v>
      </c>
      <c r="C18" s="154" t="str">
        <f t="shared" si="1"/>
        <v>1h5min</v>
      </c>
      <c r="D18" s="167" t="s">
        <v>78</v>
      </c>
      <c r="E18" s="202"/>
      <c r="F18" s="203"/>
      <c r="G18" s="51"/>
    </row>
    <row r="19" spans="1:7" s="52" customFormat="1" x14ac:dyDescent="0.3">
      <c r="A19" s="53"/>
      <c r="B19" s="54"/>
      <c r="C19" s="154" t="str">
        <f t="shared" si="1"/>
        <v/>
      </c>
      <c r="D19" s="55"/>
      <c r="E19" s="202"/>
      <c r="F19" s="203"/>
      <c r="G19" s="51"/>
    </row>
    <row r="20" spans="1:7" s="52" customFormat="1" x14ac:dyDescent="0.3">
      <c r="A20" s="54"/>
      <c r="B20" s="54"/>
      <c r="C20" s="155" t="str">
        <f t="shared" si="1"/>
        <v/>
      </c>
      <c r="D20" s="55"/>
      <c r="E20" s="202"/>
      <c r="F20" s="203"/>
      <c r="G20" s="51"/>
    </row>
    <row r="21" spans="1:7" s="52" customFormat="1" x14ac:dyDescent="0.3">
      <c r="A21" s="54"/>
      <c r="B21" s="54"/>
      <c r="C21" s="155" t="str">
        <f t="shared" si="1"/>
        <v/>
      </c>
      <c r="D21" s="55"/>
      <c r="E21" s="202"/>
      <c r="F21" s="203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2"/>
      <c r="F22" s="203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04"/>
      <c r="F23" s="205"/>
      <c r="G23" s="51"/>
    </row>
    <row r="24" spans="1:7" s="52" customFormat="1" ht="15" thickBot="1" x14ac:dyDescent="0.35">
      <c r="A24" s="163" t="s">
        <v>33</v>
      </c>
      <c r="B24" s="83">
        <f>SUM(B16:B23)</f>
        <v>40</v>
      </c>
      <c r="C24" s="163" t="str">
        <f xml:space="preserve"> setValueToTime(B24)</f>
        <v>3h20min</v>
      </c>
      <c r="D24" s="121"/>
      <c r="E24" s="206"/>
      <c r="F24" s="207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7" t="s">
        <v>16</v>
      </c>
      <c r="B26" s="165">
        <v>4</v>
      </c>
      <c r="C26" s="165"/>
      <c r="D26" s="158" t="s">
        <v>19</v>
      </c>
      <c r="E26" s="159">
        <v>45258</v>
      </c>
      <c r="F26" s="160"/>
      <c r="G26" s="46"/>
    </row>
    <row r="27" spans="1:7" s="47" customFormat="1" ht="30" customHeight="1" thickBot="1" x14ac:dyDescent="0.3">
      <c r="A27" s="78" t="s">
        <v>5</v>
      </c>
      <c r="B27" s="162" t="s">
        <v>46</v>
      </c>
      <c r="C27" s="161"/>
      <c r="D27" s="78" t="s">
        <v>17</v>
      </c>
      <c r="E27" s="208" t="s">
        <v>18</v>
      </c>
      <c r="F27" s="209"/>
      <c r="G27" s="46"/>
    </row>
    <row r="28" spans="1:7" s="52" customFormat="1" x14ac:dyDescent="0.3">
      <c r="A28" s="48" t="s">
        <v>69</v>
      </c>
      <c r="B28" s="49">
        <v>9</v>
      </c>
      <c r="C28" s="153" t="str">
        <f xml:space="preserve"> IF(B28="","",setValueToTime(B28))</f>
        <v>0h45min</v>
      </c>
      <c r="D28" s="166" t="s">
        <v>71</v>
      </c>
      <c r="E28" s="210"/>
      <c r="F28" s="211"/>
      <c r="G28" s="51"/>
    </row>
    <row r="29" spans="1:7" s="52" customFormat="1" ht="27" x14ac:dyDescent="0.3">
      <c r="A29" s="53" t="s">
        <v>70</v>
      </c>
      <c r="B29" s="54">
        <v>12</v>
      </c>
      <c r="C29" s="154" t="str">
        <f t="shared" ref="C29:C35" si="2" xml:space="preserve"> IF(B29="","",setValueToTime(B29))</f>
        <v>1h</v>
      </c>
      <c r="D29" s="167" t="s">
        <v>72</v>
      </c>
      <c r="E29" s="202"/>
      <c r="F29" s="203"/>
      <c r="G29" s="51"/>
    </row>
    <row r="30" spans="1:7" s="52" customFormat="1" ht="27" x14ac:dyDescent="0.3">
      <c r="A30" s="53" t="s">
        <v>58</v>
      </c>
      <c r="B30" s="54">
        <v>18</v>
      </c>
      <c r="C30" s="154" t="str">
        <f t="shared" si="2"/>
        <v>1h30min</v>
      </c>
      <c r="D30" s="167" t="s">
        <v>74</v>
      </c>
      <c r="E30" s="202"/>
      <c r="F30" s="203"/>
      <c r="G30" s="51"/>
    </row>
    <row r="31" spans="1:7" s="52" customFormat="1" x14ac:dyDescent="0.3">
      <c r="A31" s="53"/>
      <c r="B31" s="54"/>
      <c r="C31" s="154" t="str">
        <f t="shared" si="2"/>
        <v/>
      </c>
      <c r="D31" s="55"/>
      <c r="E31" s="202"/>
      <c r="F31" s="203"/>
      <c r="G31" s="51"/>
    </row>
    <row r="32" spans="1:7" s="52" customFormat="1" x14ac:dyDescent="0.3">
      <c r="A32" s="54"/>
      <c r="B32" s="54"/>
      <c r="C32" s="155" t="str">
        <f t="shared" si="2"/>
        <v/>
      </c>
      <c r="D32" s="55"/>
      <c r="E32" s="202"/>
      <c r="F32" s="203"/>
      <c r="G32" s="51"/>
    </row>
    <row r="33" spans="1:7" s="52" customFormat="1" x14ac:dyDescent="0.3">
      <c r="A33" s="54"/>
      <c r="B33" s="54"/>
      <c r="C33" s="155" t="str">
        <f t="shared" si="2"/>
        <v/>
      </c>
      <c r="D33" s="55"/>
      <c r="E33" s="202"/>
      <c r="F33" s="203"/>
      <c r="G33" s="51"/>
    </row>
    <row r="34" spans="1:7" s="52" customFormat="1" x14ac:dyDescent="0.3">
      <c r="A34" s="54"/>
      <c r="B34" s="54"/>
      <c r="C34" s="155" t="str">
        <f t="shared" si="2"/>
        <v/>
      </c>
      <c r="D34" s="55"/>
      <c r="E34" s="202"/>
      <c r="F34" s="203"/>
      <c r="G34" s="51"/>
    </row>
    <row r="35" spans="1:7" s="52" customFormat="1" ht="15" thickBot="1" x14ac:dyDescent="0.35">
      <c r="A35" s="56"/>
      <c r="B35" s="56"/>
      <c r="C35" s="156" t="str">
        <f t="shared" si="2"/>
        <v/>
      </c>
      <c r="D35" s="57"/>
      <c r="E35" s="204"/>
      <c r="F35" s="205"/>
      <c r="G35" s="51"/>
    </row>
    <row r="36" spans="1:7" s="52" customFormat="1" ht="15" thickBot="1" x14ac:dyDescent="0.35">
      <c r="A36" s="163" t="s">
        <v>33</v>
      </c>
      <c r="B36" s="83">
        <f>SUM(B28:B35)</f>
        <v>39</v>
      </c>
      <c r="C36" s="163" t="str">
        <f xml:space="preserve"> setValueToTime(B36)</f>
        <v>3h15min</v>
      </c>
      <c r="D36" s="121"/>
      <c r="E36" s="206"/>
      <c r="F36" s="207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7" t="s">
        <v>16</v>
      </c>
      <c r="B38" s="165">
        <v>3</v>
      </c>
      <c r="C38" s="165"/>
      <c r="D38" s="158" t="s">
        <v>19</v>
      </c>
      <c r="E38" s="159">
        <v>45251</v>
      </c>
      <c r="F38" s="160"/>
      <c r="G38" s="46"/>
    </row>
    <row r="39" spans="1:7" s="47" customFormat="1" ht="30" customHeight="1" thickBot="1" x14ac:dyDescent="0.3">
      <c r="A39" s="78" t="s">
        <v>5</v>
      </c>
      <c r="B39" s="162" t="s">
        <v>46</v>
      </c>
      <c r="C39" s="161"/>
      <c r="D39" s="78" t="s">
        <v>17</v>
      </c>
      <c r="E39" s="208" t="s">
        <v>18</v>
      </c>
      <c r="F39" s="209"/>
      <c r="G39" s="46"/>
    </row>
    <row r="40" spans="1:7" s="52" customFormat="1" ht="27" x14ac:dyDescent="0.3">
      <c r="A40" s="48" t="s">
        <v>60</v>
      </c>
      <c r="B40" s="49">
        <v>18</v>
      </c>
      <c r="C40" s="153" t="str">
        <f xml:space="preserve"> IF(B40="","",setValueToTime(B40))</f>
        <v>1h30min</v>
      </c>
      <c r="D40" s="166" t="s">
        <v>61</v>
      </c>
      <c r="E40" s="210"/>
      <c r="F40" s="211"/>
      <c r="G40" s="51"/>
    </row>
    <row r="41" spans="1:7" s="52" customFormat="1" x14ac:dyDescent="0.3">
      <c r="A41" s="53" t="s">
        <v>62</v>
      </c>
      <c r="B41" s="54">
        <v>6</v>
      </c>
      <c r="C41" s="154" t="str">
        <f t="shared" ref="C41:C47" si="3" xml:space="preserve"> IF(B41="","",setValueToTime(B41))</f>
        <v>0h30min</v>
      </c>
      <c r="D41" s="167" t="s">
        <v>64</v>
      </c>
      <c r="E41" s="202"/>
      <c r="F41" s="203"/>
      <c r="G41" s="51"/>
    </row>
    <row r="42" spans="1:7" s="52" customFormat="1" ht="40.5" x14ac:dyDescent="0.3">
      <c r="A42" s="53" t="s">
        <v>63</v>
      </c>
      <c r="B42" s="54">
        <v>10</v>
      </c>
      <c r="C42" s="154" t="str">
        <f t="shared" si="3"/>
        <v>0h50min</v>
      </c>
      <c r="D42" s="167" t="s">
        <v>65</v>
      </c>
      <c r="E42" s="202"/>
      <c r="F42" s="203"/>
      <c r="G42" s="51"/>
    </row>
    <row r="43" spans="1:7" s="52" customFormat="1" x14ac:dyDescent="0.3">
      <c r="A43" s="53" t="s">
        <v>67</v>
      </c>
      <c r="B43" s="54">
        <v>6</v>
      </c>
      <c r="C43" s="154" t="str">
        <f t="shared" si="3"/>
        <v>0h30min</v>
      </c>
      <c r="D43" s="167" t="s">
        <v>66</v>
      </c>
      <c r="E43" s="202"/>
      <c r="F43" s="203"/>
      <c r="G43" s="51"/>
    </row>
    <row r="44" spans="1:7" s="52" customFormat="1" ht="27" x14ac:dyDescent="0.3">
      <c r="A44" s="54" t="s">
        <v>58</v>
      </c>
      <c r="B44" s="54">
        <v>5</v>
      </c>
      <c r="C44" s="155" t="str">
        <f t="shared" si="3"/>
        <v>0h25min</v>
      </c>
      <c r="D44" s="167" t="s">
        <v>68</v>
      </c>
      <c r="E44" s="202"/>
      <c r="F44" s="203"/>
      <c r="G44" s="51"/>
    </row>
    <row r="45" spans="1:7" s="52" customFormat="1" x14ac:dyDescent="0.3">
      <c r="A45" s="54"/>
      <c r="B45" s="54"/>
      <c r="C45" s="155" t="str">
        <f t="shared" si="3"/>
        <v/>
      </c>
      <c r="D45" s="55"/>
      <c r="E45" s="202"/>
      <c r="F45" s="203"/>
      <c r="G45" s="51"/>
    </row>
    <row r="46" spans="1:7" s="52" customFormat="1" x14ac:dyDescent="0.3">
      <c r="A46" s="54"/>
      <c r="B46" s="54"/>
      <c r="C46" s="155" t="str">
        <f t="shared" si="3"/>
        <v/>
      </c>
      <c r="D46" s="55"/>
      <c r="E46" s="202"/>
      <c r="F46" s="203"/>
      <c r="G46" s="51"/>
    </row>
    <row r="47" spans="1:7" s="52" customFormat="1" ht="15" thickBot="1" x14ac:dyDescent="0.35">
      <c r="A47" s="56"/>
      <c r="B47" s="56"/>
      <c r="C47" s="156" t="str">
        <f t="shared" si="3"/>
        <v/>
      </c>
      <c r="D47" s="57"/>
      <c r="E47" s="204"/>
      <c r="F47" s="205"/>
      <c r="G47" s="51"/>
    </row>
    <row r="48" spans="1:7" s="52" customFormat="1" ht="15" thickBot="1" x14ac:dyDescent="0.35">
      <c r="A48" s="163" t="s">
        <v>33</v>
      </c>
      <c r="B48" s="83">
        <f>SUM(B40:B47)</f>
        <v>45</v>
      </c>
      <c r="C48" s="163" t="str">
        <f xml:space="preserve"> setValueToTime(B48)</f>
        <v>3h45min</v>
      </c>
      <c r="D48" s="121"/>
      <c r="E48" s="206"/>
      <c r="F48" s="207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7" t="s">
        <v>16</v>
      </c>
      <c r="B50" s="165">
        <v>2</v>
      </c>
      <c r="C50" s="165"/>
      <c r="D50" s="158" t="s">
        <v>19</v>
      </c>
      <c r="E50" s="159">
        <v>45244</v>
      </c>
      <c r="F50" s="160"/>
      <c r="G50" s="46"/>
    </row>
    <row r="51" spans="1:7" s="47" customFormat="1" ht="30" customHeight="1" thickBot="1" x14ac:dyDescent="0.3">
      <c r="A51" s="78" t="s">
        <v>5</v>
      </c>
      <c r="B51" s="162" t="s">
        <v>46</v>
      </c>
      <c r="C51" s="161"/>
      <c r="D51" s="78" t="s">
        <v>17</v>
      </c>
      <c r="E51" s="208" t="s">
        <v>18</v>
      </c>
      <c r="F51" s="209"/>
      <c r="G51" s="46"/>
    </row>
    <row r="52" spans="1:7" s="52" customFormat="1" ht="27" x14ac:dyDescent="0.3">
      <c r="A52" s="48" t="s">
        <v>50</v>
      </c>
      <c r="B52" s="49">
        <v>13</v>
      </c>
      <c r="C52" s="153" t="str">
        <f xml:space="preserve"> IF(B52="","",setValueToTime(B52))</f>
        <v>1h5min</v>
      </c>
      <c r="D52" s="166" t="s">
        <v>53</v>
      </c>
      <c r="E52" s="210"/>
      <c r="F52" s="211"/>
      <c r="G52" s="51"/>
    </row>
    <row r="53" spans="1:7" s="52" customFormat="1" ht="40.5" x14ac:dyDescent="0.3">
      <c r="A53" s="53" t="s">
        <v>54</v>
      </c>
      <c r="B53" s="54">
        <v>14</v>
      </c>
      <c r="C53" s="154" t="str">
        <f t="shared" ref="C53:C59" si="4" xml:space="preserve"> IF(B53="","",setValueToTime(B53))</f>
        <v>1h10min</v>
      </c>
      <c r="D53" s="167" t="s">
        <v>55</v>
      </c>
      <c r="E53" s="202"/>
      <c r="F53" s="203"/>
      <c r="G53" s="51"/>
    </row>
    <row r="54" spans="1:7" s="52" customFormat="1" ht="40.5" x14ac:dyDescent="0.3">
      <c r="A54" s="53" t="s">
        <v>56</v>
      </c>
      <c r="B54" s="54">
        <v>8</v>
      </c>
      <c r="C54" s="154" t="str">
        <f t="shared" si="4"/>
        <v>0h40min</v>
      </c>
      <c r="D54" s="167" t="s">
        <v>57</v>
      </c>
      <c r="E54" s="202"/>
      <c r="F54" s="203"/>
      <c r="G54" s="51"/>
    </row>
    <row r="55" spans="1:7" s="52" customFormat="1" ht="27" x14ac:dyDescent="0.3">
      <c r="A55" s="53" t="s">
        <v>58</v>
      </c>
      <c r="B55" s="54">
        <v>10</v>
      </c>
      <c r="C55" s="154" t="str">
        <f t="shared" si="4"/>
        <v>0h50min</v>
      </c>
      <c r="D55" s="167" t="s">
        <v>59</v>
      </c>
      <c r="E55" s="202"/>
      <c r="F55" s="203"/>
      <c r="G55" s="51"/>
    </row>
    <row r="56" spans="1:7" s="52" customFormat="1" x14ac:dyDescent="0.3">
      <c r="A56" s="54"/>
      <c r="B56" s="54"/>
      <c r="C56" s="155" t="str">
        <f t="shared" si="4"/>
        <v/>
      </c>
      <c r="D56" s="55"/>
      <c r="E56" s="202"/>
      <c r="F56" s="203"/>
      <c r="G56" s="51"/>
    </row>
    <row r="57" spans="1:7" s="52" customFormat="1" x14ac:dyDescent="0.3">
      <c r="A57" s="54"/>
      <c r="B57" s="54"/>
      <c r="C57" s="155" t="str">
        <f t="shared" si="4"/>
        <v/>
      </c>
      <c r="D57" s="55"/>
      <c r="E57" s="202"/>
      <c r="F57" s="203"/>
      <c r="G57" s="51"/>
    </row>
    <row r="58" spans="1:7" s="52" customFormat="1" x14ac:dyDescent="0.3">
      <c r="A58" s="54"/>
      <c r="B58" s="54"/>
      <c r="C58" s="155" t="str">
        <f t="shared" si="4"/>
        <v/>
      </c>
      <c r="D58" s="55"/>
      <c r="E58" s="202"/>
      <c r="F58" s="203"/>
      <c r="G58" s="51"/>
    </row>
    <row r="59" spans="1:7" s="52" customFormat="1" ht="15" thickBot="1" x14ac:dyDescent="0.35">
      <c r="A59" s="56"/>
      <c r="B59" s="56"/>
      <c r="C59" s="156" t="str">
        <f t="shared" si="4"/>
        <v/>
      </c>
      <c r="D59" s="57"/>
      <c r="E59" s="204"/>
      <c r="F59" s="205"/>
      <c r="G59" s="51"/>
    </row>
    <row r="60" spans="1:7" s="52" customFormat="1" ht="15" thickBot="1" x14ac:dyDescent="0.35">
      <c r="A60" s="163" t="s">
        <v>33</v>
      </c>
      <c r="B60" s="83">
        <f>SUM(B52:B59)</f>
        <v>45</v>
      </c>
      <c r="C60" s="163" t="str">
        <f xml:space="preserve"> setValueToTime(B60)</f>
        <v>3h45min</v>
      </c>
      <c r="D60" s="121"/>
      <c r="E60" s="206"/>
      <c r="F60" s="207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7" t="s">
        <v>16</v>
      </c>
      <c r="B62" s="165">
        <v>1</v>
      </c>
      <c r="C62" s="165"/>
      <c r="D62" s="158" t="s">
        <v>19</v>
      </c>
      <c r="E62" s="159">
        <v>45237</v>
      </c>
      <c r="F62" s="160"/>
      <c r="G62" s="46"/>
    </row>
    <row r="63" spans="1:7" s="47" customFormat="1" ht="30" customHeight="1" thickBot="1" x14ac:dyDescent="0.3">
      <c r="A63" s="78" t="s">
        <v>5</v>
      </c>
      <c r="B63" s="162" t="s">
        <v>46</v>
      </c>
      <c r="C63" s="161"/>
      <c r="D63" s="78" t="s">
        <v>17</v>
      </c>
      <c r="E63" s="208" t="s">
        <v>18</v>
      </c>
      <c r="F63" s="209"/>
      <c r="G63" s="46"/>
    </row>
    <row r="64" spans="1:7" s="52" customFormat="1" x14ac:dyDescent="0.3">
      <c r="A64" s="48" t="s">
        <v>50</v>
      </c>
      <c r="B64" s="49">
        <v>45</v>
      </c>
      <c r="C64" s="153" t="str">
        <f xml:space="preserve"> IF(B64="","",setValueToTime(B64))</f>
        <v>3h45min</v>
      </c>
      <c r="D64" s="166" t="s">
        <v>51</v>
      </c>
      <c r="E64" s="212" t="s">
        <v>52</v>
      </c>
      <c r="F64" s="211"/>
      <c r="G64" s="51"/>
    </row>
    <row r="65" spans="1:7" s="52" customFormat="1" x14ac:dyDescent="0.3">
      <c r="A65" s="53"/>
      <c r="B65" s="54"/>
      <c r="C65" s="154" t="str">
        <f t="shared" ref="C65:C71" si="5" xml:space="preserve"> IF(B65="","",setValueToTime(B65))</f>
        <v/>
      </c>
      <c r="D65" s="55"/>
      <c r="E65" s="202"/>
      <c r="F65" s="203"/>
      <c r="G65" s="51"/>
    </row>
    <row r="66" spans="1:7" s="52" customFormat="1" x14ac:dyDescent="0.3">
      <c r="A66" s="53"/>
      <c r="B66" s="54"/>
      <c r="C66" s="154" t="str">
        <f t="shared" si="5"/>
        <v/>
      </c>
      <c r="D66" s="55"/>
      <c r="E66" s="202"/>
      <c r="F66" s="203"/>
      <c r="G66" s="51"/>
    </row>
    <row r="67" spans="1:7" s="52" customFormat="1" x14ac:dyDescent="0.3">
      <c r="A67" s="53"/>
      <c r="B67" s="54"/>
      <c r="C67" s="154" t="str">
        <f t="shared" si="5"/>
        <v/>
      </c>
      <c r="D67" s="55"/>
      <c r="E67" s="202"/>
      <c r="F67" s="203"/>
      <c r="G67" s="51"/>
    </row>
    <row r="68" spans="1:7" s="52" customFormat="1" x14ac:dyDescent="0.3">
      <c r="A68" s="54"/>
      <c r="B68" s="54"/>
      <c r="C68" s="155" t="str">
        <f t="shared" si="5"/>
        <v/>
      </c>
      <c r="D68" s="55"/>
      <c r="E68" s="202"/>
      <c r="F68" s="203"/>
      <c r="G68" s="51"/>
    </row>
    <row r="69" spans="1:7" s="52" customFormat="1" x14ac:dyDescent="0.3">
      <c r="A69" s="54"/>
      <c r="B69" s="54"/>
      <c r="C69" s="155" t="str">
        <f t="shared" si="5"/>
        <v/>
      </c>
      <c r="D69" s="55"/>
      <c r="E69" s="202"/>
      <c r="F69" s="203"/>
      <c r="G69" s="51"/>
    </row>
    <row r="70" spans="1:7" s="52" customFormat="1" x14ac:dyDescent="0.3">
      <c r="A70" s="54"/>
      <c r="B70" s="54"/>
      <c r="C70" s="155" t="str">
        <f t="shared" si="5"/>
        <v/>
      </c>
      <c r="D70" s="55"/>
      <c r="E70" s="202"/>
      <c r="F70" s="203"/>
      <c r="G70" s="51"/>
    </row>
    <row r="71" spans="1:7" s="52" customFormat="1" ht="15" thickBot="1" x14ac:dyDescent="0.35">
      <c r="A71" s="56"/>
      <c r="B71" s="56"/>
      <c r="C71" s="156" t="str">
        <f t="shared" si="5"/>
        <v/>
      </c>
      <c r="D71" s="57"/>
      <c r="E71" s="204"/>
      <c r="F71" s="205"/>
      <c r="G71" s="51"/>
    </row>
    <row r="72" spans="1:7" s="52" customFormat="1" ht="15" thickBot="1" x14ac:dyDescent="0.35">
      <c r="A72" s="163" t="s">
        <v>33</v>
      </c>
      <c r="B72" s="83">
        <f>SUM(B64:B71)</f>
        <v>45</v>
      </c>
      <c r="C72" s="163" t="str">
        <f xml:space="preserve"> setValueToTime(B72)</f>
        <v>3h45min</v>
      </c>
      <c r="D72" s="121"/>
      <c r="E72" s="206"/>
      <c r="F72" s="207"/>
      <c r="G72" s="51"/>
    </row>
    <row r="73" spans="1:7" s="59" customFormat="1" x14ac:dyDescent="0.3">
      <c r="A73" s="77"/>
      <c r="B73" s="77"/>
      <c r="C73" s="77"/>
      <c r="D73" s="77"/>
      <c r="E73" s="77"/>
      <c r="F73" s="77"/>
      <c r="G73" s="58"/>
    </row>
  </sheetData>
  <sheetProtection formatRows="0" insertRows="0" insertHyperlinks="0" deleteRows="0" selectLockedCells="1"/>
  <mergeCells count="6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68:F68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</mergeCells>
  <phoneticPr fontId="0" type="noConversion"/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64:B71 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72 B60 B48 B36 B24 B12">
      <formula1>0</formula1>
      <formula2>60</formula2>
    </dataValidation>
    <dataValidation type="list" allowBlank="1" showInputMessage="1" showErrorMessage="1" sqref="A64:A71 A52:A59 A40:A47 A28:A35 A16:A23 A4:A11">
      <formula1>ListeTaches</formula1>
    </dataValidation>
  </dataValidations>
  <hyperlinks>
    <hyperlink ref="E64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0" r:id="rId5" name="btnAjoutSeqJournal">
          <controlPr defaultSize="0" autoLine="0" r:id="rId6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5" name="btnAjoutSeqJournal"/>
      </mc:Fallback>
    </mc:AlternateContent>
    <mc:AlternateContent xmlns:mc="http://schemas.openxmlformats.org/markup-compatibility/2006">
      <mc:Choice Requires="x14">
        <control shapeId="9224" r:id="rId7" name="btnRapatriementJournal">
          <controlPr defaultSize="0" autoLine="0" r:id="rId8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7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5"/>
      <c r="AH10" s="185"/>
      <c r="AI10" s="185"/>
      <c r="AJ10" s="185"/>
      <c r="AK10" s="185"/>
      <c r="AL10" s="185"/>
      <c r="AM10" s="185"/>
      <c r="AN10" s="185"/>
      <c r="AO10" s="185"/>
      <c r="AP10" s="185"/>
      <c r="AQ10" s="185"/>
      <c r="AR10" s="185"/>
      <c r="AS10" s="185"/>
      <c r="AT10" s="185"/>
      <c r="AU10" s="185"/>
      <c r="AV10" s="185"/>
      <c r="AW10" s="185"/>
      <c r="AX10" s="185"/>
      <c r="AY10" s="185"/>
      <c r="AZ10" s="185"/>
      <c r="BA10" s="185"/>
      <c r="BB10" s="185"/>
      <c r="BC10" s="185"/>
      <c r="BD10" s="185"/>
      <c r="BE10" s="185"/>
      <c r="BF10" s="185"/>
      <c r="BG10" s="185"/>
      <c r="BH10" s="185"/>
      <c r="BI10" s="90"/>
    </row>
    <row r="11" spans="1:61" ht="18" x14ac:dyDescent="0.25">
      <c r="A11" s="187"/>
      <c r="B11" s="187"/>
      <c r="C11" s="187"/>
      <c r="D11" s="187"/>
      <c r="E11" s="187"/>
      <c r="F11" s="187"/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90"/>
    </row>
    <row r="12" spans="1:61" ht="18.75" thickBot="1" x14ac:dyDescent="0.3">
      <c r="A12" s="188"/>
      <c r="B12" s="188"/>
      <c r="C12" s="188"/>
      <c r="D12" s="188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88"/>
      <c r="AG12" s="188"/>
      <c r="AH12" s="188"/>
      <c r="AI12" s="188"/>
      <c r="AJ12" s="188"/>
      <c r="AK12" s="188"/>
      <c r="AL12" s="188"/>
      <c r="AM12" s="188"/>
      <c r="AN12" s="188"/>
      <c r="AO12" s="188"/>
      <c r="AP12" s="188"/>
      <c r="AQ12" s="188"/>
      <c r="AR12" s="188"/>
      <c r="AS12" s="188"/>
      <c r="AT12" s="188"/>
      <c r="AU12" s="188"/>
      <c r="AV12" s="188"/>
      <c r="AW12" s="188"/>
      <c r="AX12" s="188"/>
      <c r="AY12" s="188"/>
      <c r="AZ12" s="188"/>
      <c r="BA12" s="188"/>
      <c r="BB12" s="188"/>
      <c r="BC12" s="188"/>
      <c r="BD12" s="188"/>
      <c r="BE12" s="188"/>
      <c r="BF12" s="188"/>
      <c r="BG12" s="188"/>
      <c r="BH12" s="188"/>
      <c r="BI12" s="90"/>
    </row>
    <row r="13" spans="1:61" ht="18.75" thickBot="1" x14ac:dyDescent="0.3">
      <c r="A13" s="189" t="s">
        <v>16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0"/>
      <c r="P13" s="190"/>
      <c r="Q13" s="190"/>
      <c r="R13" s="190"/>
      <c r="S13" s="190"/>
      <c r="T13" s="190"/>
      <c r="U13" s="190"/>
      <c r="V13" s="190"/>
      <c r="W13" s="190"/>
      <c r="X13" s="190"/>
      <c r="Y13" s="190"/>
      <c r="Z13" s="190"/>
      <c r="AA13" s="190"/>
      <c r="AB13" s="190"/>
      <c r="AC13" s="190"/>
      <c r="AD13" s="190"/>
      <c r="AE13" s="190"/>
      <c r="AF13" s="190"/>
      <c r="AG13" s="190"/>
      <c r="AH13" s="190"/>
      <c r="AI13" s="190"/>
      <c r="AJ13" s="190"/>
      <c r="AK13" s="190"/>
      <c r="AL13" s="190"/>
      <c r="AM13" s="190"/>
      <c r="AN13" s="190"/>
      <c r="AO13" s="190"/>
      <c r="AP13" s="190"/>
      <c r="AQ13" s="190"/>
      <c r="AR13" s="190"/>
      <c r="AS13" s="190"/>
      <c r="AT13" s="190"/>
      <c r="AU13" s="190"/>
      <c r="AV13" s="190"/>
      <c r="AW13" s="190"/>
      <c r="AX13" s="190"/>
      <c r="AY13" s="190"/>
      <c r="AZ13" s="190"/>
      <c r="BA13" s="190"/>
      <c r="BB13" s="190"/>
      <c r="BC13" s="190"/>
      <c r="BD13" s="190"/>
      <c r="BE13" s="190"/>
      <c r="BF13" s="190"/>
      <c r="BG13" s="190"/>
      <c r="BH13" s="191"/>
      <c r="BI13" s="90"/>
    </row>
    <row r="14" spans="1:61" ht="15.75" thickBot="1" x14ac:dyDescent="0.35">
      <c r="A14" s="103"/>
      <c r="B14" s="104"/>
      <c r="C14" s="104"/>
      <c r="D14" s="104"/>
      <c r="E14" s="192" t="s">
        <v>40</v>
      </c>
      <c r="F14" s="192"/>
      <c r="G14" s="192"/>
      <c r="H14" s="192"/>
      <c r="I14" s="104"/>
      <c r="J14" s="104"/>
      <c r="K14" s="193" t="s">
        <v>28</v>
      </c>
      <c r="L14" s="193"/>
      <c r="M14" s="193"/>
      <c r="N14" s="193"/>
      <c r="O14" s="129"/>
      <c r="P14" s="129"/>
      <c r="Q14" s="192" t="s">
        <v>41</v>
      </c>
      <c r="R14" s="192"/>
      <c r="S14" s="192"/>
      <c r="T14" s="192"/>
      <c r="U14" s="104"/>
      <c r="V14" s="104"/>
      <c r="W14" s="193" t="s">
        <v>29</v>
      </c>
      <c r="X14" s="193"/>
      <c r="Y14" s="193"/>
      <c r="Z14" s="193"/>
      <c r="AA14" s="129"/>
      <c r="AB14" s="129"/>
      <c r="AC14" s="192" t="s">
        <v>42</v>
      </c>
      <c r="AD14" s="192"/>
      <c r="AE14" s="192"/>
      <c r="AF14" s="192"/>
      <c r="AG14" s="104"/>
      <c r="AH14" s="104"/>
      <c r="AI14" s="193" t="s">
        <v>30</v>
      </c>
      <c r="AJ14" s="193"/>
      <c r="AK14" s="193"/>
      <c r="AL14" s="193"/>
      <c r="AM14" s="129"/>
      <c r="AN14" s="129"/>
      <c r="AO14" s="192" t="s">
        <v>43</v>
      </c>
      <c r="AP14" s="192"/>
      <c r="AQ14" s="192"/>
      <c r="AR14" s="192"/>
      <c r="AS14" s="104"/>
      <c r="AT14" s="104"/>
      <c r="AU14" s="193" t="s">
        <v>31</v>
      </c>
      <c r="AV14" s="193"/>
      <c r="AW14" s="193"/>
      <c r="AX14" s="193"/>
      <c r="AY14" s="129"/>
      <c r="AZ14" s="129"/>
      <c r="BA14" s="192" t="s">
        <v>44</v>
      </c>
      <c r="BB14" s="192"/>
      <c r="BC14" s="192"/>
      <c r="BD14" s="192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13" t="s">
        <v>18</v>
      </c>
      <c r="F2" s="214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0"/>
      <c r="F3" s="211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15"/>
      <c r="F11" s="216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08" t="s">
        <v>18</v>
      </c>
      <c r="F2" s="209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0"/>
      <c r="F3" s="211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06"/>
      <c r="F11" s="207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2" ma:contentTypeDescription="Crée un document." ma:contentTypeScope="" ma:versionID="1a31bd56eec8f3db2cbbc973524e1089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b50699a78ac0d74d49f8ee62c400c975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625c8d97-1bd0-43ac-99f0-221d7db31800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Props1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7FCF971-8378-4CBD-81E4-20D54DF36C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be0d3259-a7ce-4623-88ec-81594dfcb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Tiago Rodrigues Sousa</dc:creator>
  <cp:lastModifiedBy>Tiago Rodrigues Sousa</cp:lastModifiedBy>
  <cp:lastPrinted>2019-05-08T10:31:53Z</cp:lastPrinted>
  <dcterms:created xsi:type="dcterms:W3CDTF">1996-10-21T11:03:58Z</dcterms:created>
  <dcterms:modified xsi:type="dcterms:W3CDTF">2023-12-12T14:00:16Z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