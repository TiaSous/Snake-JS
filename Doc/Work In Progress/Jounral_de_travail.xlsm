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7" i="12"/>
  <c r="C16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43" i="12"/>
  <c r="C42" i="12"/>
  <c r="C41" i="12"/>
  <c r="C48" i="12"/>
  <c r="C40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<sst xmlns="http://schemas.openxmlformats.org/spreadsheetml/2006/main" count="232" uniqueCount="73">
  <si>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</si>
  <si>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</si>
  <si>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</si>
  <si>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</si>
  <si>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</si>
  <si>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</si>
  <si>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</si>
  <si>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</si>
  <si>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</si>
  <si>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</si>
  <si>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</si>
  <si>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</si>
  <si>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</si>
  <si>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</si>
  <si>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</si>
  <si>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</si>
  <si>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</si>
  <si>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</si>
  <si>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</si>
  <si>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</si>
  <si>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</si>
  <si>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</si>
  <si>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</si>
  <si>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</si>
  <si>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</si>
  <si>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</si>
  <si>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</si>
  <si>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</si>
  <si>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</si>
  <si>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</si>
  <si>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</si>
  <si>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</si>
  <si>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</si>
  <si>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</si>
  <si>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</si>
  <si>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</si>
  <si>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</si>
  <si>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</si>
  <si>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</si>
  <si>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</si>
  <si>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</si>
  <si>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</si>
  <si>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</si>
  <si>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</si>
  <si>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</si>
  <si>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</si>
  <si>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</si>
  <si>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</si>
  <si>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</si>
  <si>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</si>
  <si>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</si>
  <si>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</si>
  <si>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</si>
  <si>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</si>
  <si>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</si>
  <si>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</si>
  <si>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</si>
  <si>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</si>
  <si>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</si>
  <si>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</si>
  <si>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</si>
  <si>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</si>
  <si>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</si>
  <si>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</si>
  <si>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</si>
  <si>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</si>
  <si>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</si>
  <si>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</si>
  <si>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</si>
  <si>
    <t>Menu</t>
  </si>
  <si>
    <t>Game Over</t>
  </si>
  <si>
    <t>J'ai fait un menu pour le jeu en m'inspirant des couleurs du jeu Undertale.</t>
  </si>
  <si>
    <t>J'ai fait un game over qui renoive le joueur au menu. J'ai pas mal de temps hésité sur comment faire pour finir le jeu.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</si>
</sst>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  <c:pt idx="12">
                <c:v>Système de score</c:v>
              </c:pt>
              <c:pt idx="13">
                <c:v>Menu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22" zoomScale="70" zoomScaleNormal="70" zoomScaleSheetLayoutView="43" workbookViewId="0">
      <selection activeCell="C43" sqref="C43:C4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72" t="s">
        <v>35</v>
      </c>
      <c r="D1" s="172"/>
      <c r="E1" s="17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3"/>
      <c r="D7" s="173"/>
      <c r="E7" s="17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4" t="str">
        <f>E96</f>
        <v>0h</v>
      </c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19"/>
      <c r="W9" s="183" t="s">
        <v>27</v>
      </c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4" t="str">
        <f>E98</f>
        <v>0h</v>
      </c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92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90"/>
    </row>
    <row r="11" spans="1:186" ht="20.100000000000001" customHeight="1" x14ac:dyDescent="0.25">
      <c r="B11" s="96"/>
      <c r="C11" s="170"/>
      <c r="D11" s="170"/>
      <c r="E11" s="170"/>
      <c r="F11" s="182" t="s">
        <v>48</v>
      </c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 t="s">
        <v>48</v>
      </c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71"/>
      <c r="D12" s="171"/>
      <c r="E12" s="171"/>
      <c r="F12" s="181" t="s">
        <v>49</v>
      </c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 t="s">
        <v>49</v>
      </c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  <c r="DB12" s="181"/>
      <c r="DC12" s="181"/>
      <c r="DD12" s="181"/>
      <c r="DE12" s="181"/>
      <c r="DF12" s="181"/>
      <c r="DG12" s="181"/>
      <c r="DH12" s="181"/>
      <c r="DI12" s="181"/>
      <c r="DJ12" s="181"/>
      <c r="DK12" s="181"/>
      <c r="DL12" s="181"/>
      <c r="DM12" s="181"/>
      <c r="DN12" s="181"/>
      <c r="DO12" s="181"/>
      <c r="DP12" s="181"/>
      <c r="DQ12" s="181"/>
      <c r="DR12" s="181"/>
      <c r="DS12" s="181"/>
      <c r="DT12" s="181"/>
      <c r="DU12" s="181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77" t="s">
        <v>7</v>
      </c>
      <c r="D13" s="145"/>
      <c r="E13" s="179" t="s">
        <v>45</v>
      </c>
      <c r="F13" s="189" t="s">
        <v>8</v>
      </c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1"/>
      <c r="BN13" s="189" t="s">
        <v>32</v>
      </c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1"/>
      <c r="DV13" s="189" t="s">
        <v>23</v>
      </c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/>
      <c r="FA13" s="190"/>
      <c r="FB13" s="190"/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/>
      <c r="FR13" s="190"/>
      <c r="FS13" s="190"/>
      <c r="FT13" s="190"/>
      <c r="FU13" s="190"/>
      <c r="FV13" s="190"/>
      <c r="FW13" s="190"/>
      <c r="FX13" s="190"/>
      <c r="FY13" s="190"/>
      <c r="FZ13" s="190"/>
      <c r="GA13" s="190"/>
      <c r="GB13" s="190"/>
      <c r="GC13" s="191"/>
      <c r="GD13" s="90"/>
    </row>
    <row r="14" spans="1:186" ht="12.75" customHeight="1" thickBot="1" x14ac:dyDescent="0.35">
      <c r="B14" s="96"/>
      <c r="C14" s="178"/>
      <c r="D14" s="146"/>
      <c r="E14" s="180"/>
      <c r="F14" s="103"/>
      <c r="G14" s="104"/>
      <c r="H14" s="104"/>
      <c r="I14" s="104"/>
      <c r="J14" s="192" t="s">
        <v>40</v>
      </c>
      <c r="K14" s="192"/>
      <c r="L14" s="192"/>
      <c r="M14" s="192"/>
      <c r="N14" s="104"/>
      <c r="O14" s="104"/>
      <c r="P14" s="193" t="s">
        <v>28</v>
      </c>
      <c r="Q14" s="193"/>
      <c r="R14" s="193"/>
      <c r="S14" s="193"/>
      <c r="T14" s="129"/>
      <c r="U14" s="129"/>
      <c r="V14" s="192" t="s">
        <v>41</v>
      </c>
      <c r="W14" s="192"/>
      <c r="X14" s="192"/>
      <c r="Y14" s="192"/>
      <c r="Z14" s="104"/>
      <c r="AA14" s="104"/>
      <c r="AB14" s="193" t="s">
        <v>29</v>
      </c>
      <c r="AC14" s="193"/>
      <c r="AD14" s="193"/>
      <c r="AE14" s="193"/>
      <c r="AF14" s="129"/>
      <c r="AG14" s="129"/>
      <c r="AH14" s="192" t="s">
        <v>42</v>
      </c>
      <c r="AI14" s="192"/>
      <c r="AJ14" s="192"/>
      <c r="AK14" s="192"/>
      <c r="AL14" s="104"/>
      <c r="AM14" s="104"/>
      <c r="AN14" s="193" t="s">
        <v>30</v>
      </c>
      <c r="AO14" s="193"/>
      <c r="AP14" s="193"/>
      <c r="AQ14" s="193"/>
      <c r="AR14" s="129"/>
      <c r="AS14" s="129"/>
      <c r="AT14" s="192" t="s">
        <v>43</v>
      </c>
      <c r="AU14" s="192"/>
      <c r="AV14" s="192"/>
      <c r="AW14" s="192"/>
      <c r="AX14" s="104"/>
      <c r="AY14" s="104"/>
      <c r="AZ14" s="193" t="s">
        <v>31</v>
      </c>
      <c r="BA14" s="193"/>
      <c r="BB14" s="193"/>
      <c r="BC14" s="193"/>
      <c r="BD14" s="129"/>
      <c r="BE14" s="129"/>
      <c r="BF14" s="192" t="s">
        <v>44</v>
      </c>
      <c r="BG14" s="192"/>
      <c r="BH14" s="192"/>
      <c r="BI14" s="192"/>
      <c r="BJ14" s="104"/>
      <c r="BK14" s="104"/>
      <c r="BL14" s="104"/>
      <c r="BM14" s="105"/>
      <c r="BN14" s="103"/>
      <c r="BO14" s="104"/>
      <c r="BP14" s="104"/>
      <c r="BQ14" s="104"/>
      <c r="BR14" s="192" t="s">
        <v>40</v>
      </c>
      <c r="BS14" s="192"/>
      <c r="BT14" s="192"/>
      <c r="BU14" s="192"/>
      <c r="BV14" s="104"/>
      <c r="BW14" s="104"/>
      <c r="BX14" s="193" t="s">
        <v>28</v>
      </c>
      <c r="BY14" s="193"/>
      <c r="BZ14" s="193"/>
      <c r="CA14" s="193"/>
      <c r="CB14" s="129"/>
      <c r="CC14" s="129"/>
      <c r="CD14" s="192" t="s">
        <v>41</v>
      </c>
      <c r="CE14" s="192"/>
      <c r="CF14" s="192"/>
      <c r="CG14" s="192"/>
      <c r="CH14" s="104"/>
      <c r="CI14" s="104"/>
      <c r="CJ14" s="193" t="s">
        <v>29</v>
      </c>
      <c r="CK14" s="193"/>
      <c r="CL14" s="193"/>
      <c r="CM14" s="193"/>
      <c r="CN14" s="129"/>
      <c r="CO14" s="129"/>
      <c r="CP14" s="192" t="s">
        <v>42</v>
      </c>
      <c r="CQ14" s="192"/>
      <c r="CR14" s="192"/>
      <c r="CS14" s="192"/>
      <c r="CT14" s="104"/>
      <c r="CU14" s="104"/>
      <c r="CV14" s="193" t="s">
        <v>30</v>
      </c>
      <c r="CW14" s="193"/>
      <c r="CX14" s="193"/>
      <c r="CY14" s="193"/>
      <c r="CZ14" s="129"/>
      <c r="DA14" s="129"/>
      <c r="DB14" s="192" t="s">
        <v>43</v>
      </c>
      <c r="DC14" s="192"/>
      <c r="DD14" s="192"/>
      <c r="DE14" s="192"/>
      <c r="DF14" s="104"/>
      <c r="DG14" s="104"/>
      <c r="DH14" s="193" t="s">
        <v>31</v>
      </c>
      <c r="DI14" s="193"/>
      <c r="DJ14" s="193"/>
      <c r="DK14" s="193"/>
      <c r="DL14" s="129"/>
      <c r="DM14" s="129"/>
      <c r="DN14" s="192" t="s">
        <v>44</v>
      </c>
      <c r="DO14" s="192"/>
      <c r="DP14" s="192"/>
      <c r="DQ14" s="192"/>
      <c r="DR14" s="104"/>
      <c r="DS14" s="104"/>
      <c r="DT14" s="104"/>
      <c r="DU14" s="105"/>
      <c r="DV14" s="103"/>
      <c r="DW14" s="104"/>
      <c r="DX14" s="104"/>
      <c r="DY14" s="104"/>
      <c r="DZ14" s="192" t="s">
        <v>40</v>
      </c>
      <c r="EA14" s="192"/>
      <c r="EB14" s="192"/>
      <c r="EC14" s="192"/>
      <c r="ED14" s="104"/>
      <c r="EE14" s="104"/>
      <c r="EF14" s="193" t="s">
        <v>28</v>
      </c>
      <c r="EG14" s="193"/>
      <c r="EH14" s="193"/>
      <c r="EI14" s="193"/>
      <c r="EJ14" s="129"/>
      <c r="EK14" s="129"/>
      <c r="EL14" s="192" t="s">
        <v>41</v>
      </c>
      <c r="EM14" s="192"/>
      <c r="EN14" s="192"/>
      <c r="EO14" s="192"/>
      <c r="EP14" s="104"/>
      <c r="EQ14" s="104"/>
      <c r="ER14" s="193" t="s">
        <v>29</v>
      </c>
      <c r="ES14" s="193"/>
      <c r="ET14" s="193"/>
      <c r="EU14" s="193"/>
      <c r="EV14" s="129"/>
      <c r="EW14" s="129"/>
      <c r="EX14" s="192" t="s">
        <v>42</v>
      </c>
      <c r="EY14" s="192"/>
      <c r="EZ14" s="192"/>
      <c r="FA14" s="192"/>
      <c r="FB14" s="104"/>
      <c r="FC14" s="104"/>
      <c r="FD14" s="193" t="s">
        <v>30</v>
      </c>
      <c r="FE14" s="193"/>
      <c r="FF14" s="193"/>
      <c r="FG14" s="193"/>
      <c r="FH14" s="129"/>
      <c r="FI14" s="129"/>
      <c r="FJ14" s="192" t="s">
        <v>43</v>
      </c>
      <c r="FK14" s="192"/>
      <c r="FL14" s="192"/>
      <c r="FM14" s="192"/>
      <c r="FN14" s="104"/>
      <c r="FO14" s="104"/>
      <c r="FP14" s="193" t="s">
        <v>31</v>
      </c>
      <c r="FQ14" s="193"/>
      <c r="FR14" s="193"/>
      <c r="FS14" s="193"/>
      <c r="FT14" s="129"/>
      <c r="FU14" s="129"/>
      <c r="FV14" s="192" t="s">
        <v>44</v>
      </c>
      <c r="FW14" s="192"/>
      <c r="FX14" s="192"/>
      <c r="FY14" s="19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4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5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4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5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4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76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4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76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4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76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4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75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4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>Menu</v>
      </c>
      <c r="C28" s="175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>Game Over</v>
      </c>
      <c r="C29" s="174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5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4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5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4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5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4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6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4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5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4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6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4" t="s">
        <v>69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5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4" t="s">
        <v>70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5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4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6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4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5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4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5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4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6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4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5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4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6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4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5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4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5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4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6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4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5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4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5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4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6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4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5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4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6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4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5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4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5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4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6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4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5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4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5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4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6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4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5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4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6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4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5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4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5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4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6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8" t="s">
        <v>9</v>
      </c>
      <c r="D95" s="199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200"/>
      <c r="D96" s="201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4" t="s">
        <v>10</v>
      </c>
      <c r="D97" s="195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6"/>
      <c r="D98" s="197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E7" sqref="E7:F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4</v>
      </c>
      <c r="C2" s="165"/>
      <c r="D2" s="158" t="s">
        <v>19</v>
      </c>
      <c r="E2" s="159">
        <v>45258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x14ac:dyDescent="0.3">
      <c r="A4" s="48" t="s">
        <v>69</v>
      </c>
      <c r="B4" s="49">
        <v>9</v>
      </c>
      <c r="C4" s="153" t="str">
        <f xml:space="preserve"> IF(B4="","",setValueToTime(B4))</f>
        <v>0h45min</v>
      </c>
      <c r="D4" s="166" t="s">
        <v>71</v>
      </c>
      <c r="E4" s="210"/>
      <c r="F4" s="211"/>
      <c r="G4" s="51"/>
    </row>
    <row r="5" spans="1:7" s="52" customFormat="1" ht="27" x14ac:dyDescent="0.3">
      <c r="A5" s="53" t="s">
        <v>70</v>
      </c>
      <c r="B5" s="54">
        <v>12</v>
      </c>
      <c r="C5" s="154" t="str">
        <f t="shared" ref="C5:C11" si="0" xml:space="preserve"> IF(B5="","",setValueToTime(B5))</f>
        <v>1h</v>
      </c>
      <c r="D5" s="167" t="s">
        <v>72</v>
      </c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21</v>
      </c>
      <c r="C12" s="163" t="str">
        <f xml:space="preserve"> setValueToTime(B12)</f>
        <v>1h45min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3</v>
      </c>
      <c r="C14" s="165"/>
      <c r="D14" s="158" t="s">
        <v>19</v>
      </c>
      <c r="E14" s="159">
        <v>45251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ht="27" x14ac:dyDescent="0.3">
      <c r="A16" s="48" t="s">
        <v>60</v>
      </c>
      <c r="B16" s="49">
        <v>18</v>
      </c>
      <c r="C16" s="153" t="str">
        <f xml:space="preserve"> IF(B16="","",setValueToTime(B16))</f>
        <v>1h30min</v>
      </c>
      <c r="D16" s="166" t="s">
        <v>61</v>
      </c>
      <c r="E16" s="210"/>
      <c r="F16" s="211"/>
      <c r="G16" s="51"/>
    </row>
    <row r="17" spans="1:7" s="52" customFormat="1" x14ac:dyDescent="0.3">
      <c r="A17" s="53" t="s">
        <v>62</v>
      </c>
      <c r="B17" s="54">
        <v>6</v>
      </c>
      <c r="C17" s="154" t="str">
        <f t="shared" ref="C17:C23" si="1" xml:space="preserve"> IF(B17="","",setValueToTime(B17))</f>
        <v>0h30min</v>
      </c>
      <c r="D17" s="167" t="s">
        <v>64</v>
      </c>
      <c r="E17" s="202"/>
      <c r="F17" s="203"/>
      <c r="G17" s="51"/>
    </row>
    <row r="18" spans="1:7" s="52" customFormat="1" ht="40.5" x14ac:dyDescent="0.3">
      <c r="A18" s="53" t="s">
        <v>63</v>
      </c>
      <c r="B18" s="54">
        <v>10</v>
      </c>
      <c r="C18" s="154" t="str">
        <f t="shared" si="1"/>
        <v>0h50min</v>
      </c>
      <c r="D18" s="167" t="s">
        <v>65</v>
      </c>
      <c r="E18" s="202"/>
      <c r="F18" s="203"/>
      <c r="G18" s="51"/>
    </row>
    <row r="19" spans="1:7" s="52" customFormat="1" x14ac:dyDescent="0.3">
      <c r="A19" s="53" t="s">
        <v>67</v>
      </c>
      <c r="B19" s="54">
        <v>6</v>
      </c>
      <c r="C19" s="154" t="str">
        <f t="shared" si="1"/>
        <v>0h30min</v>
      </c>
      <c r="D19" s="167" t="s">
        <v>66</v>
      </c>
      <c r="E19" s="202"/>
      <c r="F19" s="203"/>
      <c r="G19" s="51"/>
    </row>
    <row r="20" spans="1:7" s="52" customFormat="1" ht="27" x14ac:dyDescent="0.3">
      <c r="A20" s="54" t="s">
        <v>58</v>
      </c>
      <c r="B20" s="54">
        <v>5</v>
      </c>
      <c r="C20" s="155" t="str">
        <f t="shared" si="1"/>
        <v>0h25min</v>
      </c>
      <c r="D20" s="167" t="s">
        <v>68</v>
      </c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2</v>
      </c>
      <c r="C26" s="165"/>
      <c r="D26" s="158" t="s">
        <v>19</v>
      </c>
      <c r="E26" s="159">
        <v>45244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ht="27" x14ac:dyDescent="0.3">
      <c r="A28" s="48" t="s">
        <v>50</v>
      </c>
      <c r="B28" s="49">
        <v>13</v>
      </c>
      <c r="C28" s="153" t="str">
        <f xml:space="preserve"> IF(B28="","",setValueToTime(B28))</f>
        <v>1h5min</v>
      </c>
      <c r="D28" s="166" t="s">
        <v>53</v>
      </c>
      <c r="E28" s="210"/>
      <c r="F28" s="211"/>
      <c r="G28" s="51"/>
    </row>
    <row r="29" spans="1:7" s="52" customFormat="1" ht="40.5" x14ac:dyDescent="0.3">
      <c r="A29" s="53" t="s">
        <v>54</v>
      </c>
      <c r="B29" s="54">
        <v>14</v>
      </c>
      <c r="C29" s="154" t="str">
        <f t="shared" ref="C29:C35" si="2" xml:space="preserve"> IF(B29="","",setValueToTime(B29))</f>
        <v>1h10min</v>
      </c>
      <c r="D29" s="167" t="s">
        <v>55</v>
      </c>
      <c r="E29" s="202"/>
      <c r="F29" s="203"/>
      <c r="G29" s="51"/>
    </row>
    <row r="30" spans="1:7" s="52" customFormat="1" ht="40.5" x14ac:dyDescent="0.3">
      <c r="A30" s="53" t="s">
        <v>56</v>
      </c>
      <c r="B30" s="54">
        <v>8</v>
      </c>
      <c r="C30" s="154" t="str">
        <f t="shared" si="2"/>
        <v>0h40min</v>
      </c>
      <c r="D30" s="167" t="s">
        <v>57</v>
      </c>
      <c r="E30" s="202"/>
      <c r="F30" s="203"/>
      <c r="G30" s="51"/>
    </row>
    <row r="31" spans="1:7" s="52" customFormat="1" ht="27" x14ac:dyDescent="0.3">
      <c r="A31" s="53" t="s">
        <v>58</v>
      </c>
      <c r="B31" s="54">
        <v>10</v>
      </c>
      <c r="C31" s="154" t="str">
        <f t="shared" si="2"/>
        <v>0h50min</v>
      </c>
      <c r="D31" s="167" t="s">
        <v>59</v>
      </c>
      <c r="E31" s="202"/>
      <c r="F31" s="203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45</v>
      </c>
      <c r="C36" s="163" t="str">
        <f xml:space="preserve"> setValueToTime(B36)</f>
        <v>3h45min</v>
      </c>
      <c r="D36" s="121"/>
      <c r="E36" s="206"/>
      <c r="F36" s="20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1</v>
      </c>
      <c r="C38" s="165"/>
      <c r="D38" s="158" t="s">
        <v>19</v>
      </c>
      <c r="E38" s="159">
        <v>45237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08" t="s">
        <v>18</v>
      </c>
      <c r="F39" s="209"/>
      <c r="G39" s="46"/>
    </row>
    <row r="40" spans="1:7" s="52" customFormat="1" x14ac:dyDescent="0.3">
      <c r="A40" s="48" t="s">
        <v>50</v>
      </c>
      <c r="B40" s="49">
        <v>45</v>
      </c>
      <c r="C40" s="153" t="str">
        <f xml:space="preserve"> IF(B40="","",setValueToTime(B40))</f>
        <v>3h45min</v>
      </c>
      <c r="D40" s="166" t="s">
        <v>51</v>
      </c>
      <c r="E40" s="212" t="s">
        <v>52</v>
      </c>
      <c r="F40" s="211"/>
      <c r="G40" s="51"/>
    </row>
    <row r="41" spans="1:7" s="52" customFormat="1" x14ac:dyDescent="0.3">
      <c r="A41" s="53"/>
      <c r="B41" s="54"/>
      <c r="C41" s="154" t="str">
        <f t="shared" ref="C41:C47" si="3" xml:space="preserve"> IF(B41="","",setValueToTime(B41))</f>
        <v/>
      </c>
      <c r="D41" s="55"/>
      <c r="E41" s="202"/>
      <c r="F41" s="203"/>
      <c r="G41" s="51"/>
    </row>
    <row r="42" spans="1:7" s="52" customFormat="1" x14ac:dyDescent="0.3">
      <c r="A42" s="53"/>
      <c r="B42" s="54"/>
      <c r="C42" s="154" t="str">
        <f t="shared" si="3"/>
        <v/>
      </c>
      <c r="D42" s="55"/>
      <c r="E42" s="202"/>
      <c r="F42" s="203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2"/>
      <c r="F43" s="203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2"/>
      <c r="F44" s="203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2"/>
      <c r="F45" s="203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2"/>
      <c r="F46" s="203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4"/>
      <c r="F47" s="205"/>
      <c r="G47" s="51"/>
    </row>
    <row r="48" spans="1:7" s="52" customFormat="1" ht="15" thickBot="1" x14ac:dyDescent="0.35">
      <c r="A48" s="163" t="s">
        <v>33</v>
      </c>
      <c r="B48" s="83">
        <f>SUM(B40:B47)</f>
        <v>45</v>
      </c>
      <c r="C48" s="163" t="str">
        <f xml:space="preserve"> setValueToTime(B48)</f>
        <v>3h45min</v>
      </c>
      <c r="D48" s="121"/>
      <c r="E48" s="206"/>
      <c r="F48" s="207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44:F4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list" allowBlank="1" showInputMessage="1" showErrorMessage="1" sqref="A40:A47 A28:A35 A16:A23 A4:A11">
      <formula1>ListeTaches</formula1>
    </dataValidation>
  </dataValidations>
  <hyperlinks>
    <hyperlink ref="E40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89" t="s">
        <v>16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1"/>
      <c r="BI13" s="90"/>
    </row>
    <row r="14" spans="1:61" ht="15.75" thickBot="1" x14ac:dyDescent="0.35">
      <c r="A14" s="103"/>
      <c r="B14" s="104"/>
      <c r="C14" s="104"/>
      <c r="D14" s="104"/>
      <c r="E14" s="192" t="s">
        <v>40</v>
      </c>
      <c r="F14" s="192"/>
      <c r="G14" s="192"/>
      <c r="H14" s="192"/>
      <c r="I14" s="104"/>
      <c r="J14" s="104"/>
      <c r="K14" s="193" t="s">
        <v>28</v>
      </c>
      <c r="L14" s="193"/>
      <c r="M14" s="193"/>
      <c r="N14" s="193"/>
      <c r="O14" s="129"/>
      <c r="P14" s="129"/>
      <c r="Q14" s="192" t="s">
        <v>41</v>
      </c>
      <c r="R14" s="192"/>
      <c r="S14" s="192"/>
      <c r="T14" s="192"/>
      <c r="U14" s="104"/>
      <c r="V14" s="104"/>
      <c r="W14" s="193" t="s">
        <v>29</v>
      </c>
      <c r="X14" s="193"/>
      <c r="Y14" s="193"/>
      <c r="Z14" s="193"/>
      <c r="AA14" s="129"/>
      <c r="AB14" s="129"/>
      <c r="AC14" s="192" t="s">
        <v>42</v>
      </c>
      <c r="AD14" s="192"/>
      <c r="AE14" s="192"/>
      <c r="AF14" s="192"/>
      <c r="AG14" s="104"/>
      <c r="AH14" s="104"/>
      <c r="AI14" s="193" t="s">
        <v>30</v>
      </c>
      <c r="AJ14" s="193"/>
      <c r="AK14" s="193"/>
      <c r="AL14" s="193"/>
      <c r="AM14" s="129"/>
      <c r="AN14" s="129"/>
      <c r="AO14" s="192" t="s">
        <v>43</v>
      </c>
      <c r="AP14" s="192"/>
      <c r="AQ14" s="192"/>
      <c r="AR14" s="192"/>
      <c r="AS14" s="104"/>
      <c r="AT14" s="104"/>
      <c r="AU14" s="193" t="s">
        <v>31</v>
      </c>
      <c r="AV14" s="193"/>
      <c r="AW14" s="193"/>
      <c r="AX14" s="193"/>
      <c r="AY14" s="129"/>
      <c r="AZ14" s="129"/>
      <c r="BA14" s="192" t="s">
        <v>44</v>
      </c>
      <c r="BB14" s="192"/>
      <c r="BC14" s="192"/>
      <c r="BD14" s="19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3" t="s">
        <v>18</v>
      </c>
      <c r="F2" s="214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5"/>
      <c r="F11" s="21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2023-11-28T13:20:06Z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