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5" i="12"/>
  <c r="C4" i="12"/>
  <c r="C6" i="12"/>
  <c r="C12" i="12"/>
  <c r="B24" i="12" l="1"/>
  <c r="C23" i="12"/>
  <c r="C22" i="12"/>
  <c r="C21" i="12"/>
  <c r="C20" i="12"/>
  <c r="C19" i="12"/>
  <c r="C17" i="12"/>
  <c r="C16" i="12"/>
  <c r="C18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1" i="12"/>
  <c r="C40" i="12"/>
  <c r="C48" i="12"/>
  <c r="B60" i="12" l="1"/>
  <c r="C59" i="12"/>
  <c r="C58" i="12"/>
  <c r="C57" i="12"/>
  <c r="C56" i="12"/>
  <c r="C55" i="12"/>
  <c r="C54" i="12"/>
  <c r="C53" i="12"/>
  <c r="C60" i="12"/>
  <c r="C5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<sst xmlns="http://schemas.openxmlformats.org/spreadsheetml/2006/main" count="249" uniqueCount="79">
  <si>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</si>
  <si>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</si>
  <si>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</si>
  <si>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</si>
  <si>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</si>
  <si>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</si>
  <si>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</si>
  <si>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</si>
  <si>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</si>
  <si>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</si>
  <si>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</si>
  <si>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</si>
  <si>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</si>
  <si>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</si>
  <si>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</si>
  <si>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</si>
  <si>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</si>
  <si>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</si>
  <si>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</si>
  <si>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</si>
  <si>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</si>
  <si>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</si>
  <si>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</si>
  <si>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</si>
  <si>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</si>
  <si>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</si>
  <si>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</si>
  <si>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</si>
  <si>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</si>
  <si>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</si>
  <si>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</si>
  <si>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</si>
  <si>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</si>
  <si>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</si>
  <si>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</si>
  <si>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</si>
  <si>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</si>
  <si>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</si>
  <si>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</si>
  <si>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</si>
  <si>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</si>
  <si>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</si>
  <si>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</si>
  <si>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</si>
  <si>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</si>
  <si>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</si>
  <si>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</si>
  <si>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</si>
  <si>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</si>
  <si>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</si>
  <si>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</si>
  <si>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</si>
  <si>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</si>
  <si>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</si>
  <si>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</si>
  <si>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</si>
  <si>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</si>
  <si>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</si>
  <si>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</si>
  <si>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</si>
  <si>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</si>
  <si>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</si>
  <si>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</si>
  <si>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</si>
  <si>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</si>
  <si>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</si>
  <si>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</si>
  <si>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</si>
  <si>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</si>
  <si>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</si>
  <si>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</si>
  <si>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</si>
  <si>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</si>
  <si>
    <t>Je rajoute des commentaires pour rendre mon code plus compréhensible.</t>
  </si>
  <si>
    <t>J'ai améliorer le code en utilisant des fonctions js.</t>
  </si>
  <si>
    <t>Faire le mémo</t>
  </si>
  <si>
    <t>Je fais la partie mémo. Je rajoute tout ce que je vois qui pou</t>
  </si>
  <si>
    <t>Faire le rapport</t>
  </si>
  <si>
    <t>Je fais la partie rapport. Je ne suis pas convaincu par la partie réalisation dans le rapport. Je pense qu'elle doit être améliorer.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</si>
</sst>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  <c:pt idx="14">
                <c:v>Game Over</c:v>
              </c:pt>
              <c:pt idx="15">
                <c:v>Faire le mémo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16" zoomScale="70" zoomScaleNormal="70" zoomScaleSheetLayoutView="43" workbookViewId="0">
      <selection activeCell="C47" sqref="C47:C4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0" t="s">
        <v>35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2" t="str">
        <f>E96</f>
        <v>0h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19"/>
      <c r="W9" s="191" t="s">
        <v>27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92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  <c r="GA10" s="186"/>
      <c r="GB10" s="186"/>
      <c r="GC10" s="186"/>
      <c r="GD10" s="90"/>
    </row>
    <row r="11" spans="1:186" ht="20.100000000000001" customHeight="1" x14ac:dyDescent="0.25">
      <c r="B11" s="96"/>
      <c r="C11" s="198"/>
      <c r="D11" s="198"/>
      <c r="E11" s="198"/>
      <c r="F11" s="190" t="s">
        <v>48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48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99"/>
      <c r="D12" s="199"/>
      <c r="E12" s="199"/>
      <c r="F12" s="189" t="s">
        <v>49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49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94" t="s">
        <v>7</v>
      </c>
      <c r="D13" s="145"/>
      <c r="E13" s="196" t="s">
        <v>45</v>
      </c>
      <c r="F13" s="170" t="s">
        <v>8</v>
      </c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2"/>
      <c r="BN13" s="170" t="s">
        <v>32</v>
      </c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2"/>
      <c r="DV13" s="170" t="s">
        <v>23</v>
      </c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2"/>
      <c r="GD13" s="90"/>
    </row>
    <row r="14" spans="1:186" ht="12.75" customHeight="1" thickBot="1" x14ac:dyDescent="0.35">
      <c r="B14" s="96"/>
      <c r="C14" s="195"/>
      <c r="D14" s="146"/>
      <c r="E14" s="197"/>
      <c r="F14" s="103"/>
      <c r="G14" s="104"/>
      <c r="H14" s="104"/>
      <c r="I14" s="104"/>
      <c r="J14" s="173" t="s">
        <v>40</v>
      </c>
      <c r="K14" s="173"/>
      <c r="L14" s="173"/>
      <c r="M14" s="173"/>
      <c r="N14" s="104"/>
      <c r="O14" s="104"/>
      <c r="P14" s="174" t="s">
        <v>28</v>
      </c>
      <c r="Q14" s="174"/>
      <c r="R14" s="174"/>
      <c r="S14" s="174"/>
      <c r="T14" s="129"/>
      <c r="U14" s="129"/>
      <c r="V14" s="173" t="s">
        <v>41</v>
      </c>
      <c r="W14" s="173"/>
      <c r="X14" s="173"/>
      <c r="Y14" s="173"/>
      <c r="Z14" s="104"/>
      <c r="AA14" s="104"/>
      <c r="AB14" s="174" t="s">
        <v>29</v>
      </c>
      <c r="AC14" s="174"/>
      <c r="AD14" s="174"/>
      <c r="AE14" s="174"/>
      <c r="AF14" s="129"/>
      <c r="AG14" s="129"/>
      <c r="AH14" s="173" t="s">
        <v>42</v>
      </c>
      <c r="AI14" s="173"/>
      <c r="AJ14" s="173"/>
      <c r="AK14" s="173"/>
      <c r="AL14" s="104"/>
      <c r="AM14" s="104"/>
      <c r="AN14" s="174" t="s">
        <v>30</v>
      </c>
      <c r="AO14" s="174"/>
      <c r="AP14" s="174"/>
      <c r="AQ14" s="174"/>
      <c r="AR14" s="129"/>
      <c r="AS14" s="129"/>
      <c r="AT14" s="173" t="s">
        <v>43</v>
      </c>
      <c r="AU14" s="173"/>
      <c r="AV14" s="173"/>
      <c r="AW14" s="173"/>
      <c r="AX14" s="104"/>
      <c r="AY14" s="104"/>
      <c r="AZ14" s="174" t="s">
        <v>31</v>
      </c>
      <c r="BA14" s="174"/>
      <c r="BB14" s="174"/>
      <c r="BC14" s="174"/>
      <c r="BD14" s="129"/>
      <c r="BE14" s="129"/>
      <c r="BF14" s="173" t="s">
        <v>44</v>
      </c>
      <c r="BG14" s="173"/>
      <c r="BH14" s="173"/>
      <c r="BI14" s="173"/>
      <c r="BJ14" s="104"/>
      <c r="BK14" s="104"/>
      <c r="BL14" s="104"/>
      <c r="BM14" s="105"/>
      <c r="BN14" s="103"/>
      <c r="BO14" s="104"/>
      <c r="BP14" s="104"/>
      <c r="BQ14" s="104"/>
      <c r="BR14" s="173" t="s">
        <v>40</v>
      </c>
      <c r="BS14" s="173"/>
      <c r="BT14" s="173"/>
      <c r="BU14" s="173"/>
      <c r="BV14" s="104"/>
      <c r="BW14" s="104"/>
      <c r="BX14" s="174" t="s">
        <v>28</v>
      </c>
      <c r="BY14" s="174"/>
      <c r="BZ14" s="174"/>
      <c r="CA14" s="174"/>
      <c r="CB14" s="129"/>
      <c r="CC14" s="129"/>
      <c r="CD14" s="173" t="s">
        <v>41</v>
      </c>
      <c r="CE14" s="173"/>
      <c r="CF14" s="173"/>
      <c r="CG14" s="173"/>
      <c r="CH14" s="104"/>
      <c r="CI14" s="104"/>
      <c r="CJ14" s="174" t="s">
        <v>29</v>
      </c>
      <c r="CK14" s="174"/>
      <c r="CL14" s="174"/>
      <c r="CM14" s="174"/>
      <c r="CN14" s="129"/>
      <c r="CO14" s="129"/>
      <c r="CP14" s="173" t="s">
        <v>42</v>
      </c>
      <c r="CQ14" s="173"/>
      <c r="CR14" s="173"/>
      <c r="CS14" s="173"/>
      <c r="CT14" s="104"/>
      <c r="CU14" s="104"/>
      <c r="CV14" s="174" t="s">
        <v>30</v>
      </c>
      <c r="CW14" s="174"/>
      <c r="CX14" s="174"/>
      <c r="CY14" s="174"/>
      <c r="CZ14" s="129"/>
      <c r="DA14" s="129"/>
      <c r="DB14" s="173" t="s">
        <v>43</v>
      </c>
      <c r="DC14" s="173"/>
      <c r="DD14" s="173"/>
      <c r="DE14" s="173"/>
      <c r="DF14" s="104"/>
      <c r="DG14" s="104"/>
      <c r="DH14" s="174" t="s">
        <v>31</v>
      </c>
      <c r="DI14" s="174"/>
      <c r="DJ14" s="174"/>
      <c r="DK14" s="174"/>
      <c r="DL14" s="129"/>
      <c r="DM14" s="129"/>
      <c r="DN14" s="173" t="s">
        <v>44</v>
      </c>
      <c r="DO14" s="173"/>
      <c r="DP14" s="173"/>
      <c r="DQ14" s="173"/>
      <c r="DR14" s="104"/>
      <c r="DS14" s="104"/>
      <c r="DT14" s="104"/>
      <c r="DU14" s="105"/>
      <c r="DV14" s="103"/>
      <c r="DW14" s="104"/>
      <c r="DX14" s="104"/>
      <c r="DY14" s="104"/>
      <c r="DZ14" s="173" t="s">
        <v>40</v>
      </c>
      <c r="EA14" s="173"/>
      <c r="EB14" s="173"/>
      <c r="EC14" s="173"/>
      <c r="ED14" s="104"/>
      <c r="EE14" s="104"/>
      <c r="EF14" s="174" t="s">
        <v>28</v>
      </c>
      <c r="EG14" s="174"/>
      <c r="EH14" s="174"/>
      <c r="EI14" s="174"/>
      <c r="EJ14" s="129"/>
      <c r="EK14" s="129"/>
      <c r="EL14" s="173" t="s">
        <v>41</v>
      </c>
      <c r="EM14" s="173"/>
      <c r="EN14" s="173"/>
      <c r="EO14" s="173"/>
      <c r="EP14" s="104"/>
      <c r="EQ14" s="104"/>
      <c r="ER14" s="174" t="s">
        <v>29</v>
      </c>
      <c r="ES14" s="174"/>
      <c r="ET14" s="174"/>
      <c r="EU14" s="174"/>
      <c r="EV14" s="129"/>
      <c r="EW14" s="129"/>
      <c r="EX14" s="173" t="s">
        <v>42</v>
      </c>
      <c r="EY14" s="173"/>
      <c r="EZ14" s="173"/>
      <c r="FA14" s="173"/>
      <c r="FB14" s="104"/>
      <c r="FC14" s="104"/>
      <c r="FD14" s="174" t="s">
        <v>30</v>
      </c>
      <c r="FE14" s="174"/>
      <c r="FF14" s="174"/>
      <c r="FG14" s="174"/>
      <c r="FH14" s="129"/>
      <c r="FI14" s="129"/>
      <c r="FJ14" s="173" t="s">
        <v>43</v>
      </c>
      <c r="FK14" s="173"/>
      <c r="FL14" s="173"/>
      <c r="FM14" s="173"/>
      <c r="FN14" s="104"/>
      <c r="FO14" s="104"/>
      <c r="FP14" s="174" t="s">
        <v>31</v>
      </c>
      <c r="FQ14" s="174"/>
      <c r="FR14" s="174"/>
      <c r="FS14" s="174"/>
      <c r="FT14" s="129"/>
      <c r="FU14" s="129"/>
      <c r="FV14" s="173" t="s">
        <v>44</v>
      </c>
      <c r="FW14" s="173"/>
      <c r="FX14" s="173"/>
      <c r="FY14" s="173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9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0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9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0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9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8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9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8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9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8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9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80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9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80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9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>Faire le mémo</v>
      </c>
      <c r="C30" s="180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>Faire le rapport</v>
      </c>
      <c r="C31" s="179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0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9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0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9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9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0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9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9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0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9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0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9" t="s">
        <v>75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9" t="s">
        <v>77</v>
      </c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0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9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0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9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9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0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9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9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0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9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0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9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9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0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9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0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9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9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0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9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9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0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9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0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9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9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0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9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0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9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9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0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9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9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0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9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0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9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5" t="s">
        <v>9</v>
      </c>
      <c r="D95" s="17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7"/>
      <c r="D96" s="17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2" t="s">
        <v>10</v>
      </c>
      <c r="D97" s="18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4"/>
      <c r="D98" s="18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5</v>
      </c>
      <c r="C2" s="165"/>
      <c r="D2" s="158" t="s">
        <v>19</v>
      </c>
      <c r="E2" s="159">
        <v>45265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ht="27" x14ac:dyDescent="0.3">
      <c r="A4" s="48" t="s">
        <v>58</v>
      </c>
      <c r="B4" s="49">
        <v>9</v>
      </c>
      <c r="C4" s="153" t="str">
        <f xml:space="preserve"> IF(B4="","",setValueToTime(B4))</f>
        <v>0h45min</v>
      </c>
      <c r="D4" s="166" t="s">
        <v>73</v>
      </c>
      <c r="E4" s="210"/>
      <c r="F4" s="211"/>
      <c r="G4" s="51"/>
    </row>
    <row r="5" spans="1:7" s="52" customFormat="1" x14ac:dyDescent="0.3">
      <c r="A5" s="53" t="s">
        <v>75</v>
      </c>
      <c r="B5" s="54">
        <v>14</v>
      </c>
      <c r="C5" s="154" t="str">
        <f t="shared" ref="C5:C11" si="0" xml:space="preserve"> IF(B5="","",setValueToTime(B5))</f>
        <v>1h10min</v>
      </c>
      <c r="D5" s="167" t="s">
        <v>76</v>
      </c>
      <c r="E5" s="202"/>
      <c r="F5" s="203"/>
      <c r="G5" s="51"/>
    </row>
    <row r="6" spans="1:7" s="52" customFormat="1" ht="27" x14ac:dyDescent="0.3">
      <c r="A6" s="53" t="s">
        <v>77</v>
      </c>
      <c r="B6" s="54">
        <v>11</v>
      </c>
      <c r="C6" s="154" t="str">
        <f t="shared" si="0"/>
        <v>0h55min</v>
      </c>
      <c r="D6" s="167" t="s">
        <v>78</v>
      </c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34</v>
      </c>
      <c r="C12" s="163" t="str">
        <f xml:space="preserve"> setValueToTime(B12)</f>
        <v>2h50min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4</v>
      </c>
      <c r="C14" s="165"/>
      <c r="D14" s="158" t="s">
        <v>19</v>
      </c>
      <c r="E14" s="159">
        <v>45258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x14ac:dyDescent="0.3">
      <c r="A16" s="48" t="s">
        <v>69</v>
      </c>
      <c r="B16" s="49">
        <v>9</v>
      </c>
      <c r="C16" s="153" t="str">
        <f xml:space="preserve"> IF(B16="","",setValueToTime(B16))</f>
        <v>0h45min</v>
      </c>
      <c r="D16" s="166" t="s">
        <v>71</v>
      </c>
      <c r="E16" s="210"/>
      <c r="F16" s="211"/>
      <c r="G16" s="51"/>
    </row>
    <row r="17" spans="1:7" s="52" customFormat="1" ht="27" x14ac:dyDescent="0.3">
      <c r="A17" s="53" t="s">
        <v>70</v>
      </c>
      <c r="B17" s="54">
        <v>12</v>
      </c>
      <c r="C17" s="154" t="str">
        <f t="shared" ref="C17:C23" si="1" xml:space="preserve"> IF(B17="","",setValueToTime(B17))</f>
        <v>1h</v>
      </c>
      <c r="D17" s="167" t="s">
        <v>72</v>
      </c>
      <c r="E17" s="202"/>
      <c r="F17" s="203"/>
      <c r="G17" s="51"/>
    </row>
    <row r="18" spans="1:7" s="52" customFormat="1" ht="27" x14ac:dyDescent="0.3">
      <c r="A18" s="53" t="s">
        <v>58</v>
      </c>
      <c r="B18" s="54">
        <v>18</v>
      </c>
      <c r="C18" s="154" t="str">
        <f t="shared" si="1"/>
        <v>1h30min</v>
      </c>
      <c r="D18" s="167" t="s">
        <v>74</v>
      </c>
      <c r="E18" s="202"/>
      <c r="F18" s="203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39</v>
      </c>
      <c r="C24" s="163" t="str">
        <f xml:space="preserve"> setValueToTime(B24)</f>
        <v>3h15min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3</v>
      </c>
      <c r="C26" s="165"/>
      <c r="D26" s="158" t="s">
        <v>19</v>
      </c>
      <c r="E26" s="159">
        <v>45251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ht="27" x14ac:dyDescent="0.3">
      <c r="A28" s="48" t="s">
        <v>60</v>
      </c>
      <c r="B28" s="49">
        <v>18</v>
      </c>
      <c r="C28" s="153" t="str">
        <f xml:space="preserve"> IF(B28="","",setValueToTime(B28))</f>
        <v>1h30min</v>
      </c>
      <c r="D28" s="166" t="s">
        <v>61</v>
      </c>
      <c r="E28" s="210"/>
      <c r="F28" s="211"/>
      <c r="G28" s="51"/>
    </row>
    <row r="29" spans="1:7" s="52" customFormat="1" x14ac:dyDescent="0.3">
      <c r="A29" s="53" t="s">
        <v>62</v>
      </c>
      <c r="B29" s="54">
        <v>6</v>
      </c>
      <c r="C29" s="154" t="str">
        <f t="shared" ref="C29:C35" si="2" xml:space="preserve"> IF(B29="","",setValueToTime(B29))</f>
        <v>0h30min</v>
      </c>
      <c r="D29" s="167" t="s">
        <v>64</v>
      </c>
      <c r="E29" s="202"/>
      <c r="F29" s="203"/>
      <c r="G29" s="51"/>
    </row>
    <row r="30" spans="1:7" s="52" customFormat="1" ht="40.5" x14ac:dyDescent="0.3">
      <c r="A30" s="53" t="s">
        <v>63</v>
      </c>
      <c r="B30" s="54">
        <v>10</v>
      </c>
      <c r="C30" s="154" t="str">
        <f t="shared" si="2"/>
        <v>0h50min</v>
      </c>
      <c r="D30" s="167" t="s">
        <v>65</v>
      </c>
      <c r="E30" s="202"/>
      <c r="F30" s="203"/>
      <c r="G30" s="51"/>
    </row>
    <row r="31" spans="1:7" s="52" customFormat="1" x14ac:dyDescent="0.3">
      <c r="A31" s="53" t="s">
        <v>67</v>
      </c>
      <c r="B31" s="54">
        <v>6</v>
      </c>
      <c r="C31" s="154" t="str">
        <f t="shared" si="2"/>
        <v>0h30min</v>
      </c>
      <c r="D31" s="167" t="s">
        <v>66</v>
      </c>
      <c r="E31" s="202"/>
      <c r="F31" s="203"/>
      <c r="G31" s="51"/>
    </row>
    <row r="32" spans="1:7" s="52" customFormat="1" ht="27" x14ac:dyDescent="0.3">
      <c r="A32" s="54" t="s">
        <v>58</v>
      </c>
      <c r="B32" s="54">
        <v>5</v>
      </c>
      <c r="C32" s="155" t="str">
        <f t="shared" si="2"/>
        <v>0h25min</v>
      </c>
      <c r="D32" s="167" t="s">
        <v>68</v>
      </c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2</v>
      </c>
      <c r="C38" s="165"/>
      <c r="D38" s="158" t="s">
        <v>19</v>
      </c>
      <c r="E38" s="159">
        <v>45244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ht="27" x14ac:dyDescent="0.3">
      <c r="A40" s="48" t="s">
        <v>50</v>
      </c>
      <c r="B40" s="49">
        <v>13</v>
      </c>
      <c r="C40" s="153" t="str">
        <f xml:space="preserve"> IF(B40="","",setValueToTime(B40))</f>
        <v>1h5min</v>
      </c>
      <c r="D40" s="166" t="s">
        <v>53</v>
      </c>
      <c r="E40" s="210"/>
      <c r="F40" s="211"/>
      <c r="G40" s="51"/>
    </row>
    <row r="41" spans="1:7" s="52" customFormat="1" ht="40.5" x14ac:dyDescent="0.3">
      <c r="A41" s="53" t="s">
        <v>54</v>
      </c>
      <c r="B41" s="54">
        <v>14</v>
      </c>
      <c r="C41" s="154" t="str">
        <f t="shared" ref="C41:C47" si="3" xml:space="preserve"> IF(B41="","",setValueToTime(B41))</f>
        <v>1h10min</v>
      </c>
      <c r="D41" s="167" t="s">
        <v>55</v>
      </c>
      <c r="E41" s="202"/>
      <c r="F41" s="203"/>
      <c r="G41" s="51"/>
    </row>
    <row r="42" spans="1:7" s="52" customFormat="1" ht="40.5" x14ac:dyDescent="0.3">
      <c r="A42" s="53" t="s">
        <v>56</v>
      </c>
      <c r="B42" s="54">
        <v>8</v>
      </c>
      <c r="C42" s="154" t="str">
        <f t="shared" si="3"/>
        <v>0h40min</v>
      </c>
      <c r="D42" s="167" t="s">
        <v>57</v>
      </c>
      <c r="E42" s="202"/>
      <c r="F42" s="203"/>
      <c r="G42" s="51"/>
    </row>
    <row r="43" spans="1:7" s="52" customFormat="1" ht="27" x14ac:dyDescent="0.3">
      <c r="A43" s="53" t="s">
        <v>58</v>
      </c>
      <c r="B43" s="54">
        <v>10</v>
      </c>
      <c r="C43" s="154" t="str">
        <f t="shared" si="3"/>
        <v>0h50min</v>
      </c>
      <c r="D43" s="167" t="s">
        <v>59</v>
      </c>
      <c r="E43" s="202"/>
      <c r="F43" s="203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45</v>
      </c>
      <c r="C48" s="163" t="str">
        <f xml:space="preserve"> setValueToTime(B48)</f>
        <v>3h45min</v>
      </c>
      <c r="D48" s="121"/>
      <c r="E48" s="206"/>
      <c r="F48" s="20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7" t="s">
        <v>16</v>
      </c>
      <c r="B50" s="165">
        <v>1</v>
      </c>
      <c r="C50" s="165"/>
      <c r="D50" s="158" t="s">
        <v>19</v>
      </c>
      <c r="E50" s="159">
        <v>45237</v>
      </c>
      <c r="F50" s="160"/>
      <c r="G50" s="46"/>
    </row>
    <row r="51" spans="1:7" s="47" customFormat="1" ht="30" customHeight="1" thickBot="1" x14ac:dyDescent="0.3">
      <c r="A51" s="78" t="s">
        <v>5</v>
      </c>
      <c r="B51" s="162" t="s">
        <v>46</v>
      </c>
      <c r="C51" s="161"/>
      <c r="D51" s="78" t="s">
        <v>17</v>
      </c>
      <c r="E51" s="208" t="s">
        <v>18</v>
      </c>
      <c r="F51" s="209"/>
      <c r="G51" s="46"/>
    </row>
    <row r="52" spans="1:7" s="52" customFormat="1" x14ac:dyDescent="0.3">
      <c r="A52" s="48" t="s">
        <v>50</v>
      </c>
      <c r="B52" s="49">
        <v>45</v>
      </c>
      <c r="C52" s="153" t="str">
        <f xml:space="preserve"> IF(B52="","",setValueToTime(B52))</f>
        <v>3h45min</v>
      </c>
      <c r="D52" s="166" t="s">
        <v>51</v>
      </c>
      <c r="E52" s="212" t="s">
        <v>52</v>
      </c>
      <c r="F52" s="211"/>
      <c r="G52" s="51"/>
    </row>
    <row r="53" spans="1:7" s="52" customFormat="1" x14ac:dyDescent="0.3">
      <c r="A53" s="53"/>
      <c r="B53" s="54"/>
      <c r="C53" s="154" t="str">
        <f t="shared" ref="C53:C59" si="4" xml:space="preserve"> IF(B53="","",setValueToTime(B53))</f>
        <v/>
      </c>
      <c r="D53" s="55"/>
      <c r="E53" s="202"/>
      <c r="F53" s="203"/>
      <c r="G53" s="51"/>
    </row>
    <row r="54" spans="1:7" s="52" customFormat="1" x14ac:dyDescent="0.3">
      <c r="A54" s="53"/>
      <c r="B54" s="54"/>
      <c r="C54" s="154" t="str">
        <f t="shared" si="4"/>
        <v/>
      </c>
      <c r="D54" s="55"/>
      <c r="E54" s="202"/>
      <c r="F54" s="203"/>
      <c r="G54" s="51"/>
    </row>
    <row r="55" spans="1:7" s="52" customFormat="1" x14ac:dyDescent="0.3">
      <c r="A55" s="53"/>
      <c r="B55" s="54"/>
      <c r="C55" s="154" t="str">
        <f t="shared" si="4"/>
        <v/>
      </c>
      <c r="D55" s="55"/>
      <c r="E55" s="202"/>
      <c r="F55" s="203"/>
      <c r="G55" s="51"/>
    </row>
    <row r="56" spans="1:7" s="52" customFormat="1" x14ac:dyDescent="0.3">
      <c r="A56" s="54"/>
      <c r="B56" s="54"/>
      <c r="C56" s="155" t="str">
        <f t="shared" si="4"/>
        <v/>
      </c>
      <c r="D56" s="55"/>
      <c r="E56" s="202"/>
      <c r="F56" s="203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2"/>
      <c r="F57" s="203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2"/>
      <c r="F58" s="203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4"/>
      <c r="F59" s="205"/>
      <c r="G59" s="51"/>
    </row>
    <row r="60" spans="1:7" s="52" customFormat="1" ht="15" thickBot="1" x14ac:dyDescent="0.35">
      <c r="A60" s="163" t="s">
        <v>33</v>
      </c>
      <c r="B60" s="83">
        <f>SUM(B52:B59)</f>
        <v>45</v>
      </c>
      <c r="C60" s="163" t="str">
        <f xml:space="preserve"> setValueToTime(B60)</f>
        <v>3h45min</v>
      </c>
      <c r="D60" s="121"/>
      <c r="E60" s="206"/>
      <c r="F60" s="207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>
      <formula1>0</formula1>
      <formula2>60</formula2>
    </dataValidation>
    <dataValidation type="list" allowBlank="1" showInputMessage="1" showErrorMessage="1" sqref="A52:A59 A40:A47 A28:A35 A16:A23 A4:A11">
      <formula1>ListeTaches</formula1>
    </dataValidation>
  </dataValidations>
  <hyperlinks>
    <hyperlink ref="E52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70" t="s">
        <v>16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2"/>
      <c r="BI13" s="90"/>
    </row>
    <row r="14" spans="1:61" ht="15.75" thickBot="1" x14ac:dyDescent="0.35">
      <c r="A14" s="103"/>
      <c r="B14" s="104"/>
      <c r="C14" s="104"/>
      <c r="D14" s="104"/>
      <c r="E14" s="173" t="s">
        <v>40</v>
      </c>
      <c r="F14" s="173"/>
      <c r="G14" s="173"/>
      <c r="H14" s="173"/>
      <c r="I14" s="104"/>
      <c r="J14" s="104"/>
      <c r="K14" s="174" t="s">
        <v>28</v>
      </c>
      <c r="L14" s="174"/>
      <c r="M14" s="174"/>
      <c r="N14" s="174"/>
      <c r="O14" s="129"/>
      <c r="P14" s="129"/>
      <c r="Q14" s="173" t="s">
        <v>41</v>
      </c>
      <c r="R14" s="173"/>
      <c r="S14" s="173"/>
      <c r="T14" s="173"/>
      <c r="U14" s="104"/>
      <c r="V14" s="104"/>
      <c r="W14" s="174" t="s">
        <v>29</v>
      </c>
      <c r="X14" s="174"/>
      <c r="Y14" s="174"/>
      <c r="Z14" s="174"/>
      <c r="AA14" s="129"/>
      <c r="AB14" s="129"/>
      <c r="AC14" s="173" t="s">
        <v>42</v>
      </c>
      <c r="AD14" s="173"/>
      <c r="AE14" s="173"/>
      <c r="AF14" s="173"/>
      <c r="AG14" s="104"/>
      <c r="AH14" s="104"/>
      <c r="AI14" s="174" t="s">
        <v>30</v>
      </c>
      <c r="AJ14" s="174"/>
      <c r="AK14" s="174"/>
      <c r="AL14" s="174"/>
      <c r="AM14" s="129"/>
      <c r="AN14" s="129"/>
      <c r="AO14" s="173" t="s">
        <v>43</v>
      </c>
      <c r="AP14" s="173"/>
      <c r="AQ14" s="173"/>
      <c r="AR14" s="173"/>
      <c r="AS14" s="104"/>
      <c r="AT14" s="104"/>
      <c r="AU14" s="174" t="s">
        <v>31</v>
      </c>
      <c r="AV14" s="174"/>
      <c r="AW14" s="174"/>
      <c r="AX14" s="174"/>
      <c r="AY14" s="129"/>
      <c r="AZ14" s="129"/>
      <c r="BA14" s="173" t="s">
        <v>44</v>
      </c>
      <c r="BB14" s="173"/>
      <c r="BC14" s="173"/>
      <c r="BD14" s="17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5" t="s">
        <v>18</v>
      </c>
      <c r="F2" s="216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3"/>
      <c r="F11" s="21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2023-12-05T14:42:36Z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